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jects\MV-EMS\scenarios\Steklarna\"/>
    </mc:Choice>
  </mc:AlternateContent>
  <xr:revisionPtr revIDLastSave="0" documentId="13_ncr:1_{2A71C481-6CC7-4E42-A2A8-003E5AAA7B67}" xr6:coauthVersionLast="47" xr6:coauthVersionMax="47" xr10:uidLastSave="{00000000-0000-0000-0000-000000000000}"/>
  <bookViews>
    <workbookView xWindow="-120" yWindow="-120" windowWidth="29040" windowHeight="15720" tabRatio="500" firstSheet="4" activeTab="12" xr2:uid="{00000000-000D-0000-FFFF-FFFF00000000}"/>
  </bookViews>
  <sheets>
    <sheet name="Bus" sheetId="1" r:id="rId1"/>
    <sheet name="Generator" sheetId="2" r:id="rId2"/>
    <sheet name="Node" sheetId="3" r:id="rId3"/>
    <sheet name="GasPipe" sheetId="4" r:id="rId4"/>
    <sheet name="Line" sheetId="5" r:id="rId5"/>
    <sheet name="Electrolyzer" sheetId="6" r:id="rId6"/>
    <sheet name="ElectricLoad" sheetId="7" r:id="rId7"/>
    <sheet name="Furnace" sheetId="8" r:id="rId8"/>
    <sheet name="ElectricGrid" sheetId="9" r:id="rId9"/>
    <sheet name="GasGrid" sheetId="10" r:id="rId10"/>
    <sheet name="WaterGrid" sheetId="11" r:id="rId11"/>
    <sheet name="OxygenGrid" sheetId="13" r:id="rId12"/>
    <sheet name="H2Tank" sheetId="12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2" i="11" l="1"/>
  <c r="D2" i="13"/>
  <c r="E2" i="13"/>
  <c r="J2" i="6" l="1"/>
</calcChain>
</file>

<file path=xl/sharedStrings.xml><?xml version="1.0" encoding="utf-8"?>
<sst xmlns="http://schemas.openxmlformats.org/spreadsheetml/2006/main" count="235" uniqueCount="113">
  <si>
    <t>index</t>
  </si>
  <si>
    <t>alias</t>
  </si>
  <si>
    <t>vn_kv</t>
  </si>
  <si>
    <t>v_pu_min</t>
  </si>
  <si>
    <t>v_pu_max</t>
  </si>
  <si>
    <t>gs_mw</t>
  </si>
  <si>
    <t>bs_mvar</t>
  </si>
  <si>
    <t>zone</t>
  </si>
  <si>
    <t>color</t>
  </si>
  <si>
    <t>Bus0</t>
  </si>
  <si>
    <t>a</t>
  </si>
  <si>
    <t>#f4c047</t>
  </si>
  <si>
    <t>Bus1</t>
  </si>
  <si>
    <t>Bus2</t>
  </si>
  <si>
    <t>Bus3</t>
  </si>
  <si>
    <t>connection1</t>
  </si>
  <si>
    <t>p_mw_ini</t>
  </si>
  <si>
    <t>p_mw</t>
  </si>
  <si>
    <t>q_mvar</t>
  </si>
  <si>
    <t>is_active</t>
  </si>
  <si>
    <t>p_c2</t>
  </si>
  <si>
    <t>p_c1</t>
  </si>
  <si>
    <t>q_c2</t>
  </si>
  <si>
    <t>q_c1</t>
  </si>
  <si>
    <t>controllable</t>
  </si>
  <si>
    <t>priority</t>
  </si>
  <si>
    <t>d_mw_max</t>
  </si>
  <si>
    <t>PV</t>
  </si>
  <si>
    <t>profile</t>
  </si>
  <si>
    <t>#118337</t>
  </si>
  <si>
    <t>b</t>
  </si>
  <si>
    <t>#2ac0f2</t>
  </si>
  <si>
    <t>c</t>
  </si>
  <si>
    <t>from_node</t>
  </si>
  <si>
    <t>to_node</t>
  </si>
  <si>
    <t>capacity_m3_s</t>
  </si>
  <si>
    <t>s_mva_max</t>
  </si>
  <si>
    <t>r_ohm</t>
  </si>
  <si>
    <t>x_ohm</t>
  </si>
  <si>
    <t>b_c_mho</t>
  </si>
  <si>
    <t>overload_pu</t>
  </si>
  <si>
    <t>ang_grad_min</t>
  </si>
  <si>
    <t>ang_grad_max</t>
  </si>
  <si>
    <t>line0</t>
  </si>
  <si>
    <t>#f8993a</t>
  </si>
  <si>
    <t>line1</t>
  </si>
  <si>
    <t>line2</t>
  </si>
  <si>
    <t>line3</t>
  </si>
  <si>
    <t>connection2</t>
  </si>
  <si>
    <t>connection3</t>
  </si>
  <si>
    <t>p_out_h2_mw_ini</t>
  </si>
  <si>
    <t>p_e_rated_mw</t>
  </si>
  <si>
    <t>c_degr</t>
  </si>
  <si>
    <t>eff</t>
  </si>
  <si>
    <t>ramp_mw_h</t>
  </si>
  <si>
    <t>n_cells</t>
  </si>
  <si>
    <t>cell_asr_ohm_cm2</t>
  </si>
  <si>
    <t>cell_area_cm2</t>
  </si>
  <si>
    <t>v_act_v</t>
  </si>
  <si>
    <t>v_r_v</t>
  </si>
  <si>
    <t>Ely</t>
  </si>
  <si>
    <t>#b9ed5e</t>
  </si>
  <si>
    <t>p_mw_mode</t>
  </si>
  <si>
    <t>ELoad</t>
  </si>
  <si>
    <t>#b42313</t>
  </si>
  <si>
    <t>load_mw</t>
  </si>
  <si>
    <t>load_mw_mode</t>
  </si>
  <si>
    <t>co2_cost_kg</t>
  </si>
  <si>
    <t>metane_ratio</t>
  </si>
  <si>
    <t>#f4680b</t>
  </si>
  <si>
    <t>p_mw_term</t>
  </si>
  <si>
    <t>purchase_price</t>
  </si>
  <si>
    <t>sell_price</t>
  </si>
  <si>
    <t>p_term_mode</t>
  </si>
  <si>
    <t>tariff_zone</t>
  </si>
  <si>
    <t>tariff</t>
  </si>
  <si>
    <t>purchase_price_mode</t>
  </si>
  <si>
    <t>PCC</t>
  </si>
  <si>
    <t>fixed</t>
  </si>
  <si>
    <t>peninsula</t>
  </si>
  <si>
    <t>6_1</t>
  </si>
  <si>
    <t>GasGrid</t>
  </si>
  <si>
    <t>p_max_mw</t>
  </si>
  <si>
    <t>capacity_mwh</t>
  </si>
  <si>
    <t>soc_ini_pu</t>
  </si>
  <si>
    <t>soc_min_pu</t>
  </si>
  <si>
    <t>soc_max_pu</t>
  </si>
  <si>
    <t>h2tank</t>
  </si>
  <si>
    <t>p_min_mw</t>
  </si>
  <si>
    <t>q_min_mvar</t>
  </si>
  <si>
    <t>q_max_mvar</t>
  </si>
  <si>
    <t>v_set_pu</t>
  </si>
  <si>
    <t>p_max_mw_mode</t>
  </si>
  <si>
    <t>Furnace1</t>
  </si>
  <si>
    <t>#2aa0f2</t>
  </si>
  <si>
    <t>#2a10f2</t>
  </si>
  <si>
    <t>#b423a3</t>
  </si>
  <si>
    <t>#f45d92</t>
  </si>
  <si>
    <t>min_h2_in_mix</t>
  </si>
  <si>
    <t>max_h2_in_mix</t>
  </si>
  <si>
    <t>eboost_min</t>
  </si>
  <si>
    <t>eboost_max</t>
  </si>
  <si>
    <t>H2Node</t>
  </si>
  <si>
    <t>d</t>
  </si>
  <si>
    <t>#97dbd2</t>
  </si>
  <si>
    <t>WaterNode</t>
  </si>
  <si>
    <t>MixNode</t>
  </si>
  <si>
    <t>GasNode</t>
  </si>
  <si>
    <t>#feb58b</t>
  </si>
  <si>
    <t>OxygenNode</t>
  </si>
  <si>
    <t>e</t>
  </si>
  <si>
    <t>connection4</t>
  </si>
  <si>
    <t>#ffd618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</si>
</sst>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5" formatCode="#,##0.00000"/>
    <numFmt numFmtId="166" formatCode="[$-C0A]General"/>
  </numFmts>
  <fonts count="6">
    <font>
      <sz val="11"/>
      <color rgb="FF000000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1"/>
      <family val="2"/>
      <charset val="1"/>
    </font>
    <font>
      <sz val="11"/>
      <name val="Calibri"/>
      <family val="2"/>
      <charset val="1"/>
    </font>
    <font>
      <sz val="11"/>
      <color rgb="FF000000"/>
      <name val="Calibri1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6" fontId="4" fillId="0" borderId="0"/>
  </cellStyleXfs>
  <cellXfs count="27">
    <xf numFmtId="0" fontId="0" fillId="0" borderId="0" xfId="0"/>
    <xf numFmtId="3" fontId="0" fillId="0" borderId="0" xfId="0" applyNumberFormat="1" applyAlignment="1"/>
    <xf numFmtId="0" fontId="0" fillId="0" borderId="0" xfId="0" applyAlignment="1"/>
    <xf numFmtId="3" fontId="0" fillId="0" borderId="0" xfId="0" applyNumberFormat="1" applyFont="1" applyBorder="1" applyAlignment="1">
      <alignment horizontal="left"/>
    </xf>
    <xf numFmtId="0" fontId="0" fillId="0" borderId="0" xfId="0" applyFont="1" applyBorder="1" applyAlignment="1">
      <alignment horizontal="left"/>
    </xf>
    <xf numFmtId="3" fontId="0" fillId="0" borderId="0" xfId="0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left"/>
    </xf>
    <xf numFmtId="3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164" fontId="2" fillId="0" borderId="0" xfId="0" applyNumberFormat="1" applyFont="1" applyBorder="1" applyAlignment="1">
      <alignment horizontal="center"/>
    </xf>
    <xf numFmtId="3" fontId="2" fillId="0" borderId="0" xfId="0" applyNumberFormat="1" applyFont="1" applyBorder="1" applyAlignment="1">
      <alignment horizontal="left"/>
    </xf>
    <xf numFmtId="3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3" fontId="2" fillId="0" borderId="0" xfId="0" applyNumberFormat="1" applyFont="1" applyBorder="1" applyAlignment="1">
      <alignment horizontal="right"/>
    </xf>
    <xf numFmtId="4" fontId="0" fillId="0" borderId="0" xfId="0" applyNumberFormat="1" applyAlignment="1">
      <alignment horizontal="center"/>
    </xf>
    <xf numFmtId="4" fontId="0" fillId="0" borderId="0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1" fontId="0" fillId="0" borderId="0" xfId="0" applyNumberFormat="1" applyFont="1" applyBorder="1" applyAlignment="1">
      <alignment horizontal="left"/>
    </xf>
    <xf numFmtId="165" fontId="0" fillId="0" borderId="0" xfId="0" applyNumberFormat="1" applyFont="1" applyBorder="1" applyAlignment="1">
      <alignment horizontal="right"/>
    </xf>
    <xf numFmtId="166" fontId="0" fillId="0" borderId="0" xfId="1" applyFont="1"/>
    <xf numFmtId="4" fontId="0" fillId="0" borderId="0" xfId="0" applyNumberFormat="1" applyFont="1" applyBorder="1" applyAlignment="1">
      <alignment horizontal="right"/>
    </xf>
  </cellXfs>
  <cellStyles count="2">
    <cellStyle name="Excel Built-in Normal" xfId="1" xr:uid="{00000000-0005-0000-0000-000006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zoomScaleNormal="100" workbookViewId="0">
      <selection activeCell="F11" sqref="F11"/>
    </sheetView>
  </sheetViews>
  <sheetFormatPr baseColWidth="10" defaultColWidth="8.5703125" defaultRowHeight="15"/>
  <cols>
    <col min="1" max="1" width="6" style="1" customWidth="1"/>
    <col min="2" max="2" width="6" style="2" customWidth="1"/>
    <col min="3" max="3" width="6.28515625" style="1" customWidth="1"/>
    <col min="4" max="4" width="10" style="1" customWidth="1"/>
    <col min="5" max="5" width="10.5703125" style="1" customWidth="1"/>
    <col min="6" max="6" width="9.7109375" style="1" customWidth="1"/>
    <col min="7" max="7" width="10" style="1" customWidth="1"/>
    <col min="8" max="9" width="12.42578125" style="2" customWidth="1"/>
  </cols>
  <sheetData>
    <row r="1" spans="1:9" ht="17.25" customHeight="1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spans="1:9" ht="17.25" customHeight="1">
      <c r="A2" s="5">
        <v>0</v>
      </c>
      <c r="B2" s="4" t="s">
        <v>9</v>
      </c>
      <c r="C2" s="5">
        <v>230</v>
      </c>
      <c r="D2" s="5">
        <v>0.9</v>
      </c>
      <c r="E2" s="5">
        <v>1.1000000000000001</v>
      </c>
      <c r="F2" s="5">
        <v>0</v>
      </c>
      <c r="G2" s="5">
        <v>0</v>
      </c>
      <c r="H2" s="4" t="s">
        <v>10</v>
      </c>
      <c r="I2" s="4" t="s">
        <v>11</v>
      </c>
    </row>
    <row r="3" spans="1:9" ht="17.25" customHeight="1">
      <c r="A3" s="5">
        <v>1</v>
      </c>
      <c r="B3" s="4" t="s">
        <v>12</v>
      </c>
      <c r="C3" s="5">
        <v>230</v>
      </c>
      <c r="D3" s="5">
        <v>0.9</v>
      </c>
      <c r="E3" s="5">
        <v>1.1000000000000001</v>
      </c>
      <c r="F3" s="5">
        <v>0</v>
      </c>
      <c r="G3" s="5">
        <v>0</v>
      </c>
      <c r="H3" s="4" t="s">
        <v>10</v>
      </c>
      <c r="I3" s="4" t="s">
        <v>11</v>
      </c>
    </row>
    <row r="4" spans="1:9" ht="17.25" customHeight="1">
      <c r="A4" s="5">
        <v>2</v>
      </c>
      <c r="B4" s="4" t="s">
        <v>13</v>
      </c>
      <c r="C4" s="5">
        <v>230</v>
      </c>
      <c r="D4" s="5">
        <v>0.9</v>
      </c>
      <c r="E4" s="5">
        <v>1.1000000000000001</v>
      </c>
      <c r="F4" s="5">
        <v>0</v>
      </c>
      <c r="G4" s="5">
        <v>0</v>
      </c>
      <c r="H4" s="4" t="s">
        <v>10</v>
      </c>
      <c r="I4" s="4" t="s">
        <v>11</v>
      </c>
    </row>
    <row r="5" spans="1:9" ht="17.25" customHeight="1">
      <c r="A5" s="5">
        <v>3</v>
      </c>
      <c r="B5" s="4" t="s">
        <v>14</v>
      </c>
      <c r="C5" s="5">
        <v>230</v>
      </c>
      <c r="D5" s="5">
        <v>0.9</v>
      </c>
      <c r="E5" s="5">
        <v>1.1000000000000001</v>
      </c>
      <c r="F5" s="5">
        <v>0</v>
      </c>
      <c r="G5" s="5">
        <v>0</v>
      </c>
      <c r="H5" s="4" t="s">
        <v>10</v>
      </c>
      <c r="I5" s="4" t="s">
        <v>11</v>
      </c>
    </row>
    <row r="6" spans="1:9" ht="17.25" customHeight="1"/>
    <row r="7" spans="1:9" ht="17.25" customHeight="1"/>
    <row r="8" spans="1:9" ht="17.25" customHeight="1"/>
    <row r="9" spans="1:9" ht="17.25" customHeight="1"/>
    <row r="10" spans="1:9" ht="17.25" customHeight="1"/>
    <row r="11" spans="1:9" ht="17.25" customHeight="1"/>
    <row r="12" spans="1:9" ht="17.25" customHeight="1"/>
    <row r="13" spans="1:9" ht="17.25" customHeight="1"/>
    <row r="14" spans="1:9" ht="17.25" customHeight="1"/>
    <row r="15" spans="1:9" ht="17.25" customHeight="1">
      <c r="F15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"/>
  <sheetViews>
    <sheetView zoomScaleNormal="100" workbookViewId="0">
      <selection activeCell="K11" sqref="K11"/>
    </sheetView>
  </sheetViews>
  <sheetFormatPr baseColWidth="10" defaultColWidth="8.5703125" defaultRowHeight="15"/>
  <cols>
    <col min="1" max="1" width="6" style="1" customWidth="1"/>
    <col min="2" max="2" width="7" style="2" customWidth="1"/>
    <col min="3" max="3" width="11.85546875" style="2" customWidth="1"/>
    <col min="4" max="4" width="9.7109375" style="1" customWidth="1"/>
    <col min="5" max="5" width="6.5703125" style="1" customWidth="1"/>
    <col min="6" max="6" width="7.5703125" style="1" customWidth="1"/>
    <col min="7" max="7" width="10.85546875" style="1" customWidth="1"/>
    <col min="8" max="8" width="11.140625" style="1" customWidth="1"/>
    <col min="9" max="9" width="12" style="1" customWidth="1"/>
    <col min="10" max="10" width="12.28515625" style="1" customWidth="1"/>
    <col min="11" max="11" width="8.7109375" style="1" customWidth="1"/>
    <col min="12" max="12" width="9" style="1" customWidth="1"/>
    <col min="13" max="16" width="5" style="1" customWidth="1"/>
    <col min="17" max="17" width="11.7109375" style="1" customWidth="1"/>
    <col min="18" max="18" width="7.5703125" style="1" customWidth="1"/>
    <col min="19" max="19" width="11.140625" style="1" customWidth="1"/>
    <col min="20" max="20" width="17.42578125" style="2" customWidth="1"/>
    <col min="21" max="21" width="12.42578125" style="2" customWidth="1"/>
  </cols>
  <sheetData>
    <row r="1" spans="1:21" ht="17.25" customHeight="1">
      <c r="A1" s="1" t="s">
        <v>0</v>
      </c>
      <c r="B1" s="4" t="s">
        <v>1</v>
      </c>
      <c r="C1" s="4" t="s">
        <v>15</v>
      </c>
      <c r="D1" s="1" t="s">
        <v>16</v>
      </c>
      <c r="E1" s="1" t="s">
        <v>17</v>
      </c>
      <c r="F1" s="1" t="s">
        <v>18</v>
      </c>
      <c r="G1" s="1" t="s">
        <v>88</v>
      </c>
      <c r="H1" s="1" t="s">
        <v>82</v>
      </c>
      <c r="I1" s="1" t="s">
        <v>89</v>
      </c>
      <c r="J1" s="1" t="s">
        <v>90</v>
      </c>
      <c r="K1" s="1" t="s">
        <v>19</v>
      </c>
      <c r="L1" s="1" t="s">
        <v>91</v>
      </c>
      <c r="M1" s="3" t="s">
        <v>20</v>
      </c>
      <c r="N1" s="3" t="s">
        <v>21</v>
      </c>
      <c r="O1" s="3" t="s">
        <v>22</v>
      </c>
      <c r="P1" s="3" t="s">
        <v>23</v>
      </c>
      <c r="Q1" s="1" t="s">
        <v>24</v>
      </c>
      <c r="R1" s="1" t="s">
        <v>25</v>
      </c>
      <c r="S1" s="1" t="s">
        <v>26</v>
      </c>
      <c r="T1" s="2" t="s">
        <v>92</v>
      </c>
      <c r="U1" s="4" t="s">
        <v>8</v>
      </c>
    </row>
    <row r="2" spans="1:21" ht="17.25" customHeight="1">
      <c r="A2" s="5">
        <v>0</v>
      </c>
      <c r="B2" s="4" t="s">
        <v>27</v>
      </c>
      <c r="C2" s="4" t="s">
        <v>13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-300</v>
      </c>
      <c r="J2" s="5">
        <v>300</v>
      </c>
      <c r="K2" s="5">
        <v>1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1</v>
      </c>
      <c r="R2" s="5">
        <v>1</v>
      </c>
      <c r="S2" s="5">
        <v>6000</v>
      </c>
      <c r="T2" s="2" t="s">
        <v>28</v>
      </c>
      <c r="U2" s="4" t="s">
        <v>29</v>
      </c>
    </row>
    <row r="3" spans="1:21" ht="17.25" customHeight="1">
      <c r="M3" s="6"/>
    </row>
    <row r="4" spans="1:21" ht="17.25" customHeight="1"/>
    <row r="5" spans="1:21" ht="17.25" customHeight="1"/>
    <row r="6" spans="1:21" ht="17.25" customHeight="1"/>
    <row r="7" spans="1:21" ht="17.25" customHeight="1"/>
    <row r="8" spans="1:21" ht="17.25" customHeight="1"/>
    <row r="9" spans="1:21" ht="17.25" customHeight="1">
      <c r="Q9" s="6"/>
    </row>
    <row r="10" spans="1:21" ht="17.25" customHeight="1"/>
    <row r="11" spans="1:21" ht="17.25" customHeight="1">
      <c r="O11" s="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zoomScaleNormal="100" workbookViewId="0">
      <selection activeCell="F11" sqref="F11"/>
    </sheetView>
  </sheetViews>
  <sheetFormatPr baseColWidth="10" defaultColWidth="8.5703125" defaultRowHeight="15"/>
  <cols>
    <col min="1" max="1" width="5.85546875" style="1" customWidth="1"/>
    <col min="2" max="2" width="12.28515625" style="2" customWidth="1"/>
    <col min="3" max="3" width="5.5703125" style="2" customWidth="1"/>
    <col min="4" max="8" width="12.42578125" style="2" customWidth="1"/>
  </cols>
  <sheetData>
    <row r="1" spans="1:4" ht="17.25" customHeight="1">
      <c r="A1" s="3" t="s">
        <v>0</v>
      </c>
      <c r="B1" s="4" t="s">
        <v>1</v>
      </c>
      <c r="C1" s="4" t="s">
        <v>7</v>
      </c>
      <c r="D1" s="4" t="s">
        <v>8</v>
      </c>
    </row>
    <row r="2" spans="1:4" ht="17.25" customHeight="1">
      <c r="A2" s="5">
        <v>0</v>
      </c>
      <c r="B2" s="4" t="s">
        <v>106</v>
      </c>
      <c r="C2" s="4" t="s">
        <v>30</v>
      </c>
      <c r="D2" s="4" t="s">
        <v>108</v>
      </c>
    </row>
    <row r="3" spans="1:4" ht="17.25" customHeight="1">
      <c r="A3" s="5">
        <v>1</v>
      </c>
      <c r="B3" s="4" t="s">
        <v>107</v>
      </c>
      <c r="C3" s="4" t="s">
        <v>30</v>
      </c>
      <c r="D3" s="4" t="s">
        <v>97</v>
      </c>
    </row>
    <row r="4" spans="1:4" ht="17.25" customHeight="1">
      <c r="A4" s="5">
        <v>2</v>
      </c>
      <c r="B4" s="4" t="s">
        <v>109</v>
      </c>
      <c r="C4" s="4" t="s">
        <v>110</v>
      </c>
      <c r="D4" s="4" t="s">
        <v>112</v>
      </c>
    </row>
    <row r="5" spans="1:4" ht="17.25" customHeight="1">
      <c r="A5" s="5">
        <v>3</v>
      </c>
      <c r="B5" s="4" t="s">
        <v>102</v>
      </c>
      <c r="C5" s="4" t="s">
        <v>103</v>
      </c>
      <c r="D5" s="4" t="s">
        <v>104</v>
      </c>
    </row>
    <row r="6" spans="1:4" ht="17.25" customHeight="1">
      <c r="A6" s="5">
        <v>4</v>
      </c>
      <c r="B6" s="4" t="s">
        <v>105</v>
      </c>
      <c r="C6" s="4" t="s">
        <v>32</v>
      </c>
      <c r="D6" s="4" t="s">
        <v>95</v>
      </c>
    </row>
    <row r="7" spans="1:4" ht="17.25" customHeight="1"/>
    <row r="8" spans="1:4" ht="17.25" customHeight="1"/>
    <row r="9" spans="1:4" ht="17.25" customHeight="1"/>
    <row r="10" spans="1:4" ht="17.25" customHeight="1"/>
    <row r="11" spans="1:4" ht="17.25" customHeight="1"/>
    <row r="12" spans="1:4" ht="17.25" customHeight="1"/>
    <row r="13" spans="1:4" ht="17.25" customHeight="1">
      <c r="C13" s="7"/>
    </row>
    <row r="14" spans="1:4" ht="17.25" customHeight="1"/>
    <row r="15" spans="1:4" ht="17.25" customHeight="1"/>
    <row r="16" spans="1:4" ht="17.25" customHeight="1"/>
    <row r="17" spans="8:8" ht="17.25" customHeight="1"/>
    <row r="18" spans="8:8" ht="17.25" customHeight="1"/>
    <row r="19" spans="8:8" ht="17.25" customHeight="1"/>
    <row r="20" spans="8:8" ht="17.25" customHeight="1">
      <c r="H20" s="7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"/>
  <sheetViews>
    <sheetView zoomScaleNormal="100" workbookViewId="0">
      <selection activeCell="D15" sqref="D15"/>
    </sheetView>
  </sheetViews>
  <sheetFormatPr baseColWidth="10" defaultColWidth="8.5703125" defaultRowHeight="15"/>
  <cols>
    <col min="1" max="1" width="12.42578125" style="1" customWidth="1"/>
    <col min="2" max="3" width="12.42578125" style="2" customWidth="1"/>
    <col min="4" max="4" width="12.42578125" style="1" customWidth="1"/>
    <col min="5" max="5" width="15.140625" style="1" customWidth="1"/>
    <col min="6" max="6" width="12.42578125" style="2" customWidth="1"/>
  </cols>
  <sheetData>
    <row r="1" spans="1:6" ht="17.25" customHeight="1">
      <c r="A1" s="8" t="s">
        <v>0</v>
      </c>
      <c r="B1" s="9" t="s">
        <v>33</v>
      </c>
      <c r="C1" s="9" t="s">
        <v>34</v>
      </c>
      <c r="D1" s="8" t="s">
        <v>19</v>
      </c>
      <c r="E1" s="8" t="s">
        <v>35</v>
      </c>
      <c r="F1" s="9" t="s">
        <v>8</v>
      </c>
    </row>
    <row r="2" spans="1:6" ht="17.25" customHeight="1">
      <c r="A2" s="5">
        <v>0</v>
      </c>
      <c r="B2" s="4" t="s">
        <v>106</v>
      </c>
      <c r="C2" s="4" t="s">
        <v>107</v>
      </c>
      <c r="D2" s="5">
        <v>1</v>
      </c>
      <c r="E2" s="5">
        <v>1000</v>
      </c>
      <c r="F2" s="4" t="s">
        <v>96</v>
      </c>
    </row>
    <row r="3" spans="1:6">
      <c r="A3" s="1">
        <v>1</v>
      </c>
      <c r="B3" s="4" t="s">
        <v>102</v>
      </c>
      <c r="C3" s="4" t="s">
        <v>106</v>
      </c>
      <c r="D3" s="5">
        <v>1</v>
      </c>
      <c r="E3" s="5">
        <v>1000</v>
      </c>
      <c r="F3" s="4" t="s">
        <v>104</v>
      </c>
    </row>
  </sheetData>
  <phoneticPr fontId="5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5"/>
  <sheetViews>
    <sheetView zoomScaleNormal="100" workbookViewId="0">
      <selection activeCell="G10" sqref="G10"/>
    </sheetView>
  </sheetViews>
  <sheetFormatPr baseColWidth="10" defaultColWidth="8.5703125" defaultRowHeight="15"/>
  <cols>
    <col min="1" max="1" width="6" style="10" customWidth="1"/>
    <col min="2" max="2" width="6" style="11" customWidth="1"/>
    <col min="3" max="3" width="11" style="11" customWidth="1"/>
    <col min="4" max="4" width="8.42578125" style="11" customWidth="1"/>
    <col min="5" max="5" width="11.28515625" style="10" customWidth="1"/>
    <col min="6" max="6" width="12.42578125" style="10" customWidth="1"/>
    <col min="7" max="7" width="9.5703125" style="12" customWidth="1"/>
    <col min="8" max="8" width="10.7109375" style="12" customWidth="1"/>
    <col min="9" max="9" width="9.5703125" style="12" customWidth="1"/>
    <col min="10" max="10" width="13.42578125" style="13" customWidth="1"/>
    <col min="11" max="11" width="14.28515625" style="13" customWidth="1"/>
    <col min="12" max="12" width="14.85546875" style="13" customWidth="1"/>
    <col min="13" max="13" width="12.42578125" style="2" customWidth="1"/>
  </cols>
  <sheetData>
    <row r="1" spans="1:13" ht="17.25" customHeight="1">
      <c r="A1" s="8" t="s">
        <v>0</v>
      </c>
      <c r="B1" s="4" t="s">
        <v>1</v>
      </c>
      <c r="C1" s="9" t="s">
        <v>33</v>
      </c>
      <c r="D1" s="9" t="s">
        <v>34</v>
      </c>
      <c r="E1" s="8" t="s">
        <v>19</v>
      </c>
      <c r="F1" s="8" t="s">
        <v>36</v>
      </c>
      <c r="G1" s="14" t="s">
        <v>37</v>
      </c>
      <c r="H1" s="14" t="s">
        <v>38</v>
      </c>
      <c r="I1" s="14" t="s">
        <v>39</v>
      </c>
      <c r="J1" s="15" t="s">
        <v>40</v>
      </c>
      <c r="K1" s="8" t="s">
        <v>41</v>
      </c>
      <c r="L1" s="8" t="s">
        <v>42</v>
      </c>
      <c r="M1" s="9" t="s">
        <v>8</v>
      </c>
    </row>
    <row r="2" spans="1:13" ht="17.25" customHeight="1">
      <c r="A2" s="16">
        <v>0</v>
      </c>
      <c r="B2" s="17" t="s">
        <v>43</v>
      </c>
      <c r="C2" s="17" t="s">
        <v>9</v>
      </c>
      <c r="D2" s="17" t="s">
        <v>12</v>
      </c>
      <c r="E2" s="16">
        <v>1</v>
      </c>
      <c r="F2" s="8">
        <v>300</v>
      </c>
      <c r="G2" s="14">
        <v>1.4864900000000001</v>
      </c>
      <c r="H2" s="14">
        <v>14.8649</v>
      </c>
      <c r="I2" s="14">
        <v>0</v>
      </c>
      <c r="J2" s="18">
        <v>0.8</v>
      </c>
      <c r="K2" s="18">
        <v>-180</v>
      </c>
      <c r="L2" s="18">
        <v>180</v>
      </c>
      <c r="M2" s="4" t="s">
        <v>44</v>
      </c>
    </row>
    <row r="3" spans="1:13" ht="17.25" customHeight="1">
      <c r="A3" s="16">
        <v>1</v>
      </c>
      <c r="B3" s="17" t="s">
        <v>45</v>
      </c>
      <c r="C3" s="17" t="s">
        <v>12</v>
      </c>
      <c r="D3" s="17" t="s">
        <v>14</v>
      </c>
      <c r="E3" s="16">
        <v>1</v>
      </c>
      <c r="F3" s="8">
        <v>300</v>
      </c>
      <c r="G3" s="14">
        <v>1.60816</v>
      </c>
      <c r="H3" s="14">
        <v>16.081600000000002</v>
      </c>
      <c r="I3" s="14">
        <v>0</v>
      </c>
      <c r="J3" s="18">
        <v>0.8</v>
      </c>
      <c r="K3" s="18">
        <v>-180</v>
      </c>
      <c r="L3" s="18">
        <v>180</v>
      </c>
      <c r="M3" s="4" t="s">
        <v>44</v>
      </c>
    </row>
    <row r="4" spans="1:13" ht="17.25" customHeight="1">
      <c r="A4" s="16">
        <v>2</v>
      </c>
      <c r="B4" s="17" t="s">
        <v>46</v>
      </c>
      <c r="C4" s="17" t="s">
        <v>13</v>
      </c>
      <c r="D4" s="17" t="s">
        <v>9</v>
      </c>
      <c r="E4" s="16">
        <v>1</v>
      </c>
      <c r="F4" s="8">
        <v>300</v>
      </c>
      <c r="G4" s="14">
        <v>0.57132000000000005</v>
      </c>
      <c r="H4" s="14">
        <v>5.7131999999999996</v>
      </c>
      <c r="I4" s="14">
        <v>0</v>
      </c>
      <c r="J4" s="18">
        <v>0.8</v>
      </c>
      <c r="K4" s="18">
        <v>-180</v>
      </c>
      <c r="L4" s="18">
        <v>180</v>
      </c>
      <c r="M4" s="4" t="s">
        <v>44</v>
      </c>
    </row>
    <row r="5" spans="1:13" ht="17.25" customHeight="1">
      <c r="A5" s="16">
        <v>3</v>
      </c>
      <c r="B5" s="17" t="s">
        <v>47</v>
      </c>
      <c r="C5" s="17" t="s">
        <v>13</v>
      </c>
      <c r="D5" s="17" t="s">
        <v>14</v>
      </c>
      <c r="E5" s="16">
        <v>1</v>
      </c>
      <c r="F5" s="8">
        <v>300</v>
      </c>
      <c r="G5" s="14">
        <v>1.5711299999999999</v>
      </c>
      <c r="H5" s="14">
        <v>15.7113</v>
      </c>
      <c r="I5" s="14">
        <v>0</v>
      </c>
      <c r="J5" s="18">
        <v>0.8</v>
      </c>
      <c r="K5" s="18">
        <v>-180</v>
      </c>
      <c r="L5" s="18">
        <v>180</v>
      </c>
      <c r="M5" s="4" t="s">
        <v>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3"/>
  <sheetViews>
    <sheetView zoomScaleNormal="100" workbookViewId="0">
      <selection activeCell="N13" sqref="N13"/>
    </sheetView>
  </sheetViews>
  <sheetFormatPr baseColWidth="10" defaultColWidth="8.5703125" defaultRowHeight="15"/>
  <cols>
    <col min="1" max="1" width="6" style="10" customWidth="1"/>
    <col min="2" max="2" width="5" style="11" bestFit="1" customWidth="1"/>
    <col min="3" max="5" width="11.85546875" style="11" customWidth="1"/>
    <col min="6" max="6" width="12.5703125" style="11" bestFit="1" customWidth="1"/>
    <col min="7" max="7" width="17" style="10" bestFit="1" customWidth="1"/>
    <col min="8" max="8" width="14.28515625" style="10" bestFit="1" customWidth="1"/>
    <col min="9" max="9" width="8.7109375" style="10" customWidth="1"/>
    <col min="10" max="10" width="6.85546875" style="19" bestFit="1" customWidth="1"/>
    <col min="11" max="11" width="4.5703125" style="19" bestFit="1" customWidth="1"/>
    <col min="12" max="12" width="11.7109375" style="10" customWidth="1"/>
    <col min="13" max="13" width="7.5703125" style="10" customWidth="1"/>
    <col min="14" max="14" width="12" style="10" customWidth="1"/>
    <col min="15" max="15" width="7.140625" style="10" bestFit="1" customWidth="1"/>
    <col min="16" max="16" width="17.42578125" style="10" bestFit="1" customWidth="1"/>
    <col min="17" max="17" width="13.5703125" style="10" bestFit="1" customWidth="1"/>
    <col min="18" max="18" width="7.5703125" style="10" bestFit="1" customWidth="1"/>
    <col min="19" max="19" width="5.7109375" style="10" bestFit="1" customWidth="1"/>
    <col min="20" max="20" width="8.5703125" style="11" bestFit="1" customWidth="1"/>
  </cols>
  <sheetData>
    <row r="1" spans="1:20" ht="18" customHeight="1">
      <c r="A1" s="16" t="s">
        <v>0</v>
      </c>
      <c r="B1" s="4" t="s">
        <v>1</v>
      </c>
      <c r="C1" s="4" t="s">
        <v>15</v>
      </c>
      <c r="D1" s="4" t="s">
        <v>48</v>
      </c>
      <c r="E1" s="4" t="s">
        <v>49</v>
      </c>
      <c r="F1" s="4" t="s">
        <v>111</v>
      </c>
      <c r="G1" s="16" t="s">
        <v>50</v>
      </c>
      <c r="H1" s="16" t="s">
        <v>51</v>
      </c>
      <c r="I1" s="16" t="s">
        <v>19</v>
      </c>
      <c r="J1" s="20" t="s">
        <v>52</v>
      </c>
      <c r="K1" s="20" t="s">
        <v>53</v>
      </c>
      <c r="L1" s="16" t="s">
        <v>24</v>
      </c>
      <c r="M1" s="16" t="s">
        <v>25</v>
      </c>
      <c r="N1" s="16" t="s">
        <v>54</v>
      </c>
      <c r="O1" s="16" t="s">
        <v>55</v>
      </c>
      <c r="P1" s="16" t="s">
        <v>56</v>
      </c>
      <c r="Q1" s="16" t="s">
        <v>57</v>
      </c>
      <c r="R1" s="16" t="s">
        <v>58</v>
      </c>
      <c r="S1" s="16" t="s">
        <v>59</v>
      </c>
      <c r="T1" s="17" t="s">
        <v>8</v>
      </c>
    </row>
    <row r="2" spans="1:20" ht="18" customHeight="1">
      <c r="A2" s="16">
        <v>0</v>
      </c>
      <c r="B2" s="17" t="s">
        <v>60</v>
      </c>
      <c r="C2" s="17" t="s">
        <v>14</v>
      </c>
      <c r="D2" s="4" t="s">
        <v>102</v>
      </c>
      <c r="E2" s="17" t="s">
        <v>105</v>
      </c>
      <c r="F2" s="17" t="s">
        <v>109</v>
      </c>
      <c r="G2" s="16">
        <v>0</v>
      </c>
      <c r="H2" s="16">
        <v>2</v>
      </c>
      <c r="I2" s="16">
        <v>1</v>
      </c>
      <c r="J2" s="20">
        <f>0.08*3600/141.8</f>
        <v>2.0310296191819464</v>
      </c>
      <c r="K2" s="20">
        <v>0.63</v>
      </c>
      <c r="L2" s="16">
        <v>1</v>
      </c>
      <c r="M2" s="16">
        <v>1</v>
      </c>
      <c r="N2" s="16">
        <v>10000</v>
      </c>
      <c r="O2" s="16">
        <v>800</v>
      </c>
      <c r="P2" s="20">
        <v>0.36</v>
      </c>
      <c r="Q2" s="20">
        <v>1000</v>
      </c>
      <c r="R2" s="20">
        <v>0.2</v>
      </c>
      <c r="S2" s="20">
        <v>0.4</v>
      </c>
      <c r="T2" s="17" t="s">
        <v>61</v>
      </c>
    </row>
    <row r="11" spans="1:20">
      <c r="H11" s="19"/>
    </row>
    <row r="12" spans="1:20">
      <c r="H12" s="19"/>
    </row>
    <row r="13" spans="1:20">
      <c r="H13" s="2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zoomScaleNormal="100" workbookViewId="0">
      <selection activeCell="I3" sqref="I3"/>
    </sheetView>
  </sheetViews>
  <sheetFormatPr baseColWidth="10" defaultColWidth="8.5703125" defaultRowHeight="15"/>
  <cols>
    <col min="1" max="1" width="6" style="1" customWidth="1"/>
    <col min="2" max="2" width="11.5703125" style="2" customWidth="1"/>
    <col min="3" max="3" width="11.85546875" style="2" customWidth="1"/>
    <col min="4" max="4" width="8.7109375" style="1" customWidth="1"/>
    <col min="5" max="5" width="11.7109375" style="1" customWidth="1"/>
    <col min="6" max="6" width="7.5703125" style="1" customWidth="1"/>
    <col min="7" max="7" width="17.85546875" style="2" customWidth="1"/>
    <col min="8" max="8" width="12.42578125" style="1" customWidth="1"/>
    <col min="9" max="9" width="12.42578125" style="2" customWidth="1"/>
  </cols>
  <sheetData>
    <row r="1" spans="1:9" ht="17.25" customHeight="1">
      <c r="A1" s="1" t="s">
        <v>0</v>
      </c>
      <c r="B1" s="4" t="s">
        <v>1</v>
      </c>
      <c r="C1" s="4" t="s">
        <v>15</v>
      </c>
      <c r="D1" s="1" t="s">
        <v>19</v>
      </c>
      <c r="E1" s="1" t="s">
        <v>24</v>
      </c>
      <c r="F1" s="1" t="s">
        <v>25</v>
      </c>
      <c r="G1" s="4" t="s">
        <v>62</v>
      </c>
      <c r="H1" s="3" t="s">
        <v>17</v>
      </c>
      <c r="I1" s="4" t="s">
        <v>8</v>
      </c>
    </row>
    <row r="2" spans="1:9" ht="17.25" customHeight="1">
      <c r="A2" s="5">
        <v>0</v>
      </c>
      <c r="B2" s="4" t="s">
        <v>63</v>
      </c>
      <c r="C2" s="4" t="s">
        <v>12</v>
      </c>
      <c r="D2" s="5">
        <v>1</v>
      </c>
      <c r="E2" s="5">
        <v>0</v>
      </c>
      <c r="F2" s="5">
        <v>1</v>
      </c>
      <c r="G2" s="4" t="s">
        <v>28</v>
      </c>
      <c r="H2" s="5">
        <v>-10</v>
      </c>
      <c r="I2" s="4" t="s">
        <v>69</v>
      </c>
    </row>
    <row r="3" spans="1:9" ht="17.25" customHeight="1"/>
    <row r="4" spans="1:9" ht="17.25" customHeight="1"/>
    <row r="5" spans="1:9" ht="17.25" customHeight="1"/>
    <row r="6" spans="1:9" ht="17.25" customHeight="1"/>
    <row r="7" spans="1:9" ht="17.25" customHeight="1"/>
    <row r="8" spans="1:9" ht="17.25" customHeight="1"/>
    <row r="9" spans="1:9" ht="17.25" customHeight="1">
      <c r="G9" s="7"/>
      <c r="H9" s="6"/>
    </row>
    <row r="10" spans="1:9" ht="17.25" customHeight="1"/>
    <row r="11" spans="1:9" ht="17.25" customHeight="1"/>
    <row r="12" spans="1:9" ht="17.25" customHeight="1"/>
    <row r="13" spans="1:9" ht="17.25" customHeight="1"/>
    <row r="14" spans="1:9" ht="17.25" customHeight="1">
      <c r="H14" s="6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17"/>
  <sheetViews>
    <sheetView zoomScaleNormal="100" workbookViewId="0">
      <selection activeCell="P7" sqref="P7"/>
    </sheetView>
  </sheetViews>
  <sheetFormatPr baseColWidth="10" defaultColWidth="8.5703125" defaultRowHeight="15"/>
  <cols>
    <col min="1" max="1" width="6" style="1" bestFit="1" customWidth="1"/>
    <col min="2" max="2" width="9" style="2" bestFit="1" customWidth="1"/>
    <col min="3" max="4" width="11.85546875" style="2" bestFit="1" customWidth="1"/>
    <col min="5" max="5" width="12.5703125" style="2" bestFit="1" customWidth="1"/>
    <col min="6" max="6" width="8.7109375" style="1" bestFit="1" customWidth="1"/>
    <col min="7" max="7" width="11.7109375" style="1" bestFit="1" customWidth="1"/>
    <col min="8" max="8" width="7.5703125" style="1" bestFit="1" customWidth="1"/>
    <col min="9" max="9" width="9.140625" style="1" bestFit="1" customWidth="1"/>
    <col min="10" max="10" width="15.28515625" style="1" bestFit="1" customWidth="1"/>
    <col min="11" max="11" width="11.5703125" style="1" bestFit="1" customWidth="1"/>
    <col min="12" max="12" width="13" style="1" bestFit="1" customWidth="1"/>
    <col min="13" max="13" width="14.5703125" style="1" bestFit="1" customWidth="1"/>
    <col min="14" max="14" width="14.85546875" style="1" bestFit="1" customWidth="1"/>
    <col min="15" max="15" width="11.5703125" style="1" bestFit="1" customWidth="1"/>
    <col min="16" max="16" width="11.85546875" style="1" bestFit="1" customWidth="1"/>
    <col min="17" max="17" width="7.85546875" style="2" bestFit="1" customWidth="1"/>
    <col min="18" max="22" width="12.42578125" style="2" customWidth="1"/>
  </cols>
  <sheetData>
    <row r="1" spans="1:17" ht="17.25" customHeight="1">
      <c r="A1" s="1" t="s">
        <v>0</v>
      </c>
      <c r="B1" s="4" t="s">
        <v>1</v>
      </c>
      <c r="C1" s="4" t="s">
        <v>15</v>
      </c>
      <c r="D1" s="4" t="s">
        <v>48</v>
      </c>
      <c r="E1" s="4" t="s">
        <v>49</v>
      </c>
      <c r="F1" s="1" t="s">
        <v>19</v>
      </c>
      <c r="G1" s="1" t="s">
        <v>24</v>
      </c>
      <c r="H1" s="1" t="s">
        <v>25</v>
      </c>
      <c r="I1" s="1" t="s">
        <v>65</v>
      </c>
      <c r="J1" s="1" t="s">
        <v>66</v>
      </c>
      <c r="K1" s="22" t="s">
        <v>67</v>
      </c>
      <c r="L1" s="22" t="s">
        <v>68</v>
      </c>
      <c r="M1" s="22" t="s">
        <v>98</v>
      </c>
      <c r="N1" s="22" t="s">
        <v>99</v>
      </c>
      <c r="O1" s="22" t="s">
        <v>100</v>
      </c>
      <c r="P1" s="22" t="s">
        <v>101</v>
      </c>
      <c r="Q1" s="4" t="s">
        <v>8</v>
      </c>
    </row>
    <row r="2" spans="1:17" ht="17.25" customHeight="1">
      <c r="A2" s="5">
        <v>0</v>
      </c>
      <c r="B2" s="4" t="s">
        <v>93</v>
      </c>
      <c r="C2" s="4" t="s">
        <v>106</v>
      </c>
      <c r="D2" s="4" t="s">
        <v>14</v>
      </c>
      <c r="E2" s="4" t="s">
        <v>109</v>
      </c>
      <c r="F2" s="5">
        <v>1</v>
      </c>
      <c r="G2" s="5">
        <v>0</v>
      </c>
      <c r="H2" s="5">
        <v>1</v>
      </c>
      <c r="I2" s="5">
        <v>-10</v>
      </c>
      <c r="J2" s="5" t="s">
        <v>28</v>
      </c>
      <c r="K2" s="22">
        <v>0.08</v>
      </c>
      <c r="L2" s="22">
        <v>0.95</v>
      </c>
      <c r="M2" s="22">
        <v>0.2</v>
      </c>
      <c r="N2" s="22">
        <v>1</v>
      </c>
      <c r="O2" s="22">
        <v>0.08</v>
      </c>
      <c r="P2" s="22">
        <v>0.12</v>
      </c>
      <c r="Q2" s="4" t="s">
        <v>69</v>
      </c>
    </row>
    <row r="3" spans="1:17" ht="17.25" customHeight="1"/>
    <row r="4" spans="1:17" ht="17.25" customHeight="1"/>
    <row r="5" spans="1:17" ht="17.25" customHeight="1"/>
    <row r="6" spans="1:17" ht="17.25" customHeight="1">
      <c r="Q6" s="7"/>
    </row>
    <row r="7" spans="1:17" ht="17.25" customHeight="1"/>
    <row r="8" spans="1:17" ht="17.25" customHeight="1"/>
    <row r="9" spans="1:17" ht="17.25" customHeight="1"/>
    <row r="10" spans="1:17" ht="17.25" customHeight="1"/>
    <row r="11" spans="1:17" ht="17.25" customHeight="1"/>
    <row r="12" spans="1:17" ht="17.25" customHeight="1"/>
    <row r="13" spans="1:17" ht="17.25" customHeight="1"/>
    <row r="14" spans="1:17" ht="17.25" customHeight="1"/>
    <row r="15" spans="1:17" ht="17.25" customHeight="1"/>
    <row r="16" spans="1:17" ht="17.25" customHeight="1"/>
    <row r="17" spans="22:22" ht="17.25" customHeight="1">
      <c r="V17" s="23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2"/>
  <sheetViews>
    <sheetView zoomScaleNormal="100" workbookViewId="0">
      <selection activeCell="Q12" sqref="Q12"/>
    </sheetView>
  </sheetViews>
  <sheetFormatPr baseColWidth="10" defaultColWidth="8.5703125" defaultRowHeight="15"/>
  <cols>
    <col min="1" max="1" width="6" style="13" customWidth="1"/>
    <col min="2" max="2" width="6" style="2" customWidth="1"/>
    <col min="3" max="3" width="11.85546875" style="2" customWidth="1"/>
    <col min="4" max="4" width="8.7109375" style="13" customWidth="1"/>
    <col min="5" max="5" width="9" style="13" customWidth="1"/>
    <col min="6" max="6" width="11.7109375" style="13" customWidth="1"/>
    <col min="7" max="7" width="13.5703125" style="13" customWidth="1"/>
    <col min="8" max="8" width="13.85546875" style="13" customWidth="1"/>
    <col min="9" max="9" width="12.28515625" style="13" customWidth="1"/>
    <col min="10" max="10" width="12" style="13" customWidth="1"/>
    <col min="11" max="11" width="14.42578125" style="13" customWidth="1"/>
    <col min="12" max="12" width="9.5703125" style="13" customWidth="1"/>
    <col min="13" max="13" width="13.5703125" style="2" customWidth="1"/>
    <col min="14" max="14" width="10.7109375" style="2" customWidth="1"/>
    <col min="15" max="15" width="5.42578125" style="2" customWidth="1"/>
    <col min="16" max="16" width="20.7109375" style="2" customWidth="1"/>
    <col min="17" max="17" width="12.42578125" style="2" customWidth="1"/>
    <col min="18" max="18" width="12.42578125" style="13" customWidth="1"/>
  </cols>
  <sheetData>
    <row r="1" spans="1:18" ht="17.25" customHeight="1">
      <c r="A1" s="3" t="s">
        <v>0</v>
      </c>
      <c r="B1" s="4" t="s">
        <v>1</v>
      </c>
      <c r="C1" s="4" t="s">
        <v>15</v>
      </c>
      <c r="D1" s="3" t="s">
        <v>19</v>
      </c>
      <c r="E1" s="3" t="s">
        <v>91</v>
      </c>
      <c r="F1" s="3" t="s">
        <v>70</v>
      </c>
      <c r="G1" s="3" t="s">
        <v>88</v>
      </c>
      <c r="H1" s="3" t="s">
        <v>82</v>
      </c>
      <c r="I1" s="3" t="s">
        <v>90</v>
      </c>
      <c r="J1" s="3" t="s">
        <v>89</v>
      </c>
      <c r="K1" s="3" t="s">
        <v>71</v>
      </c>
      <c r="L1" s="3" t="s">
        <v>72</v>
      </c>
      <c r="M1" s="4" t="s">
        <v>73</v>
      </c>
      <c r="N1" s="4" t="s">
        <v>74</v>
      </c>
      <c r="O1" s="4" t="s">
        <v>75</v>
      </c>
      <c r="P1" s="4" t="s">
        <v>76</v>
      </c>
      <c r="Q1" s="4" t="s">
        <v>8</v>
      </c>
      <c r="R1" s="3"/>
    </row>
    <row r="2" spans="1:18" ht="17.25" customHeight="1">
      <c r="A2" s="5">
        <v>0</v>
      </c>
      <c r="B2" s="4" t="s">
        <v>77</v>
      </c>
      <c r="C2" s="4" t="s">
        <v>9</v>
      </c>
      <c r="D2" s="5">
        <v>1</v>
      </c>
      <c r="E2" s="5">
        <v>1</v>
      </c>
      <c r="F2" s="5">
        <v>200</v>
      </c>
      <c r="G2" s="5">
        <v>0</v>
      </c>
      <c r="H2" s="5">
        <v>10000</v>
      </c>
      <c r="I2" s="5">
        <v>0</v>
      </c>
      <c r="J2" s="5">
        <v>0</v>
      </c>
      <c r="K2" s="5">
        <v>40</v>
      </c>
      <c r="L2" s="5">
        <v>0</v>
      </c>
      <c r="M2" s="4" t="s">
        <v>78</v>
      </c>
      <c r="N2" s="4" t="s">
        <v>79</v>
      </c>
      <c r="O2" s="4" t="s">
        <v>80</v>
      </c>
      <c r="P2" s="4" t="s">
        <v>28</v>
      </c>
      <c r="Q2" s="4" t="s">
        <v>64</v>
      </c>
      <c r="R2" s="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zoomScaleNormal="100" workbookViewId="0">
      <selection activeCell="G13" sqref="G13"/>
    </sheetView>
  </sheetViews>
  <sheetFormatPr baseColWidth="10" defaultColWidth="8.5703125" defaultRowHeight="15"/>
  <cols>
    <col min="1" max="1" width="6" style="13" customWidth="1"/>
    <col min="2" max="2" width="11.85546875" style="13" customWidth="1"/>
    <col min="3" max="3" width="11.85546875" style="2" customWidth="1"/>
    <col min="4" max="4" width="8.7109375" style="13" customWidth="1"/>
    <col min="5" max="5" width="14.42578125" style="13" customWidth="1"/>
    <col min="6" max="6" width="20.7109375" style="2" customWidth="1"/>
    <col min="7" max="7" width="12.42578125" style="2" customWidth="1"/>
  </cols>
  <sheetData>
    <row r="1" spans="1:7" ht="17.25" customHeight="1">
      <c r="A1" s="3" t="s">
        <v>0</v>
      </c>
      <c r="B1" s="3" t="s">
        <v>1</v>
      </c>
      <c r="C1" s="4" t="s">
        <v>15</v>
      </c>
      <c r="D1" s="3" t="s">
        <v>19</v>
      </c>
      <c r="E1" s="3" t="s">
        <v>71</v>
      </c>
      <c r="F1" s="4" t="s">
        <v>76</v>
      </c>
      <c r="G1" s="4" t="s">
        <v>8</v>
      </c>
    </row>
    <row r="2" spans="1:7" ht="17.25" customHeight="1">
      <c r="A2" s="5">
        <v>0</v>
      </c>
      <c r="B2" s="5" t="s">
        <v>81</v>
      </c>
      <c r="C2" s="4" t="s">
        <v>107</v>
      </c>
      <c r="D2" s="5">
        <v>1</v>
      </c>
      <c r="E2" s="5">
        <v>30</v>
      </c>
      <c r="F2" s="4" t="s">
        <v>28</v>
      </c>
      <c r="G2" s="4" t="s">
        <v>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"/>
  <sheetViews>
    <sheetView zoomScaleNormal="100" workbookViewId="0">
      <selection activeCell="P42" sqref="P42"/>
    </sheetView>
  </sheetViews>
  <sheetFormatPr baseColWidth="10" defaultColWidth="8.5703125" defaultRowHeight="15"/>
  <cols>
    <col min="1" max="1" width="6" style="13" customWidth="1"/>
    <col min="2" max="2" width="12.28515625" style="2" customWidth="1"/>
    <col min="3" max="3" width="8.7109375" style="13" customWidth="1"/>
    <col min="4" max="4" width="14.42578125" style="13" customWidth="1"/>
    <col min="5" max="5" width="20.7109375" style="2" customWidth="1"/>
    <col min="6" max="6" width="12.42578125" style="2" customWidth="1"/>
  </cols>
  <sheetData>
    <row r="1" spans="1:6" ht="17.25" customHeight="1">
      <c r="A1" s="3" t="s">
        <v>0</v>
      </c>
      <c r="B1" s="4" t="s">
        <v>15</v>
      </c>
      <c r="C1" s="3" t="s">
        <v>19</v>
      </c>
      <c r="D1" s="3" t="s">
        <v>71</v>
      </c>
      <c r="E1" s="4" t="s">
        <v>76</v>
      </c>
      <c r="F1" s="4" t="s">
        <v>8</v>
      </c>
    </row>
    <row r="2" spans="1:6" ht="17.25" customHeight="1">
      <c r="A2" s="5">
        <v>0</v>
      </c>
      <c r="B2" s="4" t="s">
        <v>105</v>
      </c>
      <c r="C2" s="5">
        <v>1</v>
      </c>
      <c r="D2" s="24">
        <f>0.002*1000</f>
        <v>2</v>
      </c>
      <c r="E2" s="4" t="s">
        <v>78</v>
      </c>
      <c r="F2" s="4" t="s">
        <v>94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DC80C-1437-46EF-BBAE-268075E3B6ED}">
  <dimension ref="A1:F2"/>
  <sheetViews>
    <sheetView topLeftCell="A28" workbookViewId="0">
      <selection activeCell="J36" sqref="J36"/>
    </sheetView>
  </sheetViews>
  <sheetFormatPr baseColWidth="10" defaultRowHeight="15"/>
  <cols>
    <col min="2" max="2" width="12.5703125" bestFit="1" customWidth="1"/>
  </cols>
  <sheetData>
    <row r="1" spans="1:6">
      <c r="A1" s="3" t="s">
        <v>0</v>
      </c>
      <c r="B1" s="4" t="s">
        <v>15</v>
      </c>
      <c r="C1" s="3" t="s">
        <v>19</v>
      </c>
      <c r="D1" s="3" t="s">
        <v>72</v>
      </c>
      <c r="E1" s="3" t="s">
        <v>71</v>
      </c>
      <c r="F1" s="4" t="s">
        <v>8</v>
      </c>
    </row>
    <row r="2" spans="1:6">
      <c r="A2" s="5">
        <v>0</v>
      </c>
      <c r="B2" s="4" t="s">
        <v>109</v>
      </c>
      <c r="C2" s="5">
        <v>1</v>
      </c>
      <c r="D2" s="26">
        <f>0.02*1000</f>
        <v>20</v>
      </c>
      <c r="E2" s="24">
        <f>0.05 * 1000</f>
        <v>50</v>
      </c>
      <c r="F2" s="4" t="s">
        <v>112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"/>
  <sheetViews>
    <sheetView tabSelected="1" zoomScaleNormal="100" workbookViewId="0">
      <selection activeCell="J15" sqref="J15"/>
    </sheetView>
  </sheetViews>
  <sheetFormatPr baseColWidth="10" defaultColWidth="9.140625" defaultRowHeight="15"/>
  <cols>
    <col min="3" max="3" width="11.85546875" bestFit="1" customWidth="1"/>
    <col min="5" max="5" width="10.7109375" customWidth="1"/>
    <col min="8" max="8" width="13.140625" customWidth="1"/>
    <col min="9" max="9" width="16.28515625" customWidth="1"/>
    <col min="10" max="10" width="16.7109375" customWidth="1"/>
    <col min="11" max="11" width="16.5703125" customWidth="1"/>
  </cols>
  <sheetData>
    <row r="1" spans="1:12">
      <c r="A1" s="25" t="s">
        <v>0</v>
      </c>
      <c r="B1" s="25" t="s">
        <v>1</v>
      </c>
      <c r="C1" s="25" t="s">
        <v>15</v>
      </c>
      <c r="D1" s="25" t="s">
        <v>19</v>
      </c>
      <c r="E1" s="25" t="s">
        <v>82</v>
      </c>
      <c r="F1" s="25" t="s">
        <v>53</v>
      </c>
      <c r="G1" s="25" t="s">
        <v>52</v>
      </c>
      <c r="H1" s="25" t="s">
        <v>83</v>
      </c>
      <c r="I1" s="25" t="s">
        <v>84</v>
      </c>
      <c r="J1" s="25" t="s">
        <v>85</v>
      </c>
      <c r="K1" s="25" t="s">
        <v>86</v>
      </c>
      <c r="L1" s="25" t="s">
        <v>8</v>
      </c>
    </row>
    <row r="2" spans="1:12">
      <c r="A2">
        <v>0</v>
      </c>
      <c r="B2" t="s">
        <v>87</v>
      </c>
      <c r="C2" s="4" t="s">
        <v>102</v>
      </c>
      <c r="D2">
        <v>1</v>
      </c>
      <c r="E2">
        <v>2</v>
      </c>
      <c r="F2">
        <v>1</v>
      </c>
      <c r="G2">
        <v>0.13</v>
      </c>
      <c r="H2">
        <v>100</v>
      </c>
      <c r="I2">
        <v>0.5</v>
      </c>
      <c r="J2">
        <v>0</v>
      </c>
      <c r="K2">
        <v>1</v>
      </c>
      <c r="L2" t="s">
        <v>31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Bus</vt:lpstr>
      <vt:lpstr>Generator</vt:lpstr>
      <vt:lpstr>Node</vt:lpstr>
      <vt:lpstr>GasPipe</vt:lpstr>
      <vt:lpstr>Line</vt:lpstr>
      <vt:lpstr>Electrolyzer</vt:lpstr>
      <vt:lpstr>ElectricLoad</vt:lpstr>
      <vt:lpstr>Furnace</vt:lpstr>
      <vt:lpstr>ElectricGrid</vt:lpstr>
      <vt:lpstr>GasGrid</vt:lpstr>
      <vt:lpstr>WaterGrid</vt:lpstr>
      <vt:lpstr>OxygenGrid</vt:lpstr>
      <vt:lpstr>H2Tank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Esteban Daniel</cp:lastModifiedBy>
  <cp:revision>28</cp:revision>
  <dcterms:created xsi:type="dcterms:W3CDTF">2025-01-21T08:05:52Z</dcterms:created>
  <dcterms:modified xsi:type="dcterms:W3CDTF">2025-06-16T12:04:21Z</dcterms:modified>
  <dc:language>en-US</dc:language>
</cp:coreProperties>
</file>