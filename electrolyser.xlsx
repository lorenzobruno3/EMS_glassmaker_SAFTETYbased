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B9A90A19-B058-4274-A686-2EA8EF95A7B2}" xr6:coauthVersionLast="36" xr6:coauthVersionMax="36" xr10:uidLastSave="{00000000-0000-0000-0000-000000000000}"/>
  <bookViews>
    <workbookView xWindow="0" yWindow="0" windowWidth="22260" windowHeight="12650" firstSheet="1" activeTab="1" xr2:uid="{00000000-000D-0000-FFFF-FFFF00000000}"/>
  </bookViews>
  <sheets>
    <sheet name="PEM_0" sheetId="9" r:id="rId1"/>
    <sheet name="PEM" sheetId="5" r:id="rId2"/>
    <sheet name="PEM_alt" sheetId="13" r:id="rId3"/>
    <sheet name="PEM_10" sheetId="11" r:id="rId4"/>
    <sheet name="PEM_100" sheetId="12" r:id="rId5"/>
    <sheet name="PEM_A" sheetId="10" r:id="rId6"/>
    <sheet name="SOEC" sheetId="6" r:id="rId7"/>
    <sheet name="AEM" sheetId="7" r:id="rId8"/>
    <sheet name="multistage model PEM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5" l="1"/>
  <c r="B37" i="5"/>
  <c r="B36" i="5"/>
  <c r="B35" i="5"/>
  <c r="B34" i="5"/>
  <c r="B33" i="5"/>
  <c r="B32" i="5"/>
  <c r="B31" i="5"/>
  <c r="B30" i="5"/>
  <c r="B24" i="5" l="1"/>
  <c r="B24" i="13" l="1"/>
  <c r="B23" i="13"/>
  <c r="B28" i="13" l="1"/>
  <c r="B27" i="13"/>
  <c r="B22" i="13"/>
  <c r="B21" i="13"/>
  <c r="B20" i="13"/>
  <c r="C16" i="13"/>
  <c r="B16" i="13"/>
  <c r="C11" i="13"/>
  <c r="B11" i="13"/>
  <c r="C10" i="13"/>
  <c r="B10" i="13"/>
  <c r="B24" i="12" l="1"/>
  <c r="B23" i="12"/>
  <c r="B18" i="12"/>
  <c r="B17" i="12"/>
  <c r="B28" i="12"/>
  <c r="B27" i="12"/>
  <c r="B22" i="12"/>
  <c r="B21" i="12"/>
  <c r="B20" i="12"/>
  <c r="C16" i="12"/>
  <c r="B16" i="12"/>
  <c r="C11" i="12"/>
  <c r="B11" i="12"/>
  <c r="C10" i="12"/>
  <c r="B10" i="12"/>
  <c r="B24" i="11" l="1"/>
  <c r="B23" i="11"/>
  <c r="B18" i="11"/>
  <c r="B17" i="11"/>
  <c r="B28" i="11"/>
  <c r="B27" i="11"/>
  <c r="B22" i="11"/>
  <c r="B21" i="11"/>
  <c r="B20" i="11"/>
  <c r="C16" i="11"/>
  <c r="B16" i="11"/>
  <c r="C11" i="11"/>
  <c r="B11" i="11"/>
  <c r="C10" i="11"/>
  <c r="B10" i="11"/>
  <c r="B27" i="5" l="1"/>
  <c r="B23" i="5" l="1"/>
  <c r="B22" i="5" l="1"/>
  <c r="B21" i="5"/>
  <c r="B20" i="5"/>
  <c r="B28" i="5"/>
  <c r="B27" i="10" l="1"/>
  <c r="B28" i="10"/>
  <c r="C16" i="10" l="1"/>
  <c r="B16" i="10"/>
  <c r="C11" i="10"/>
  <c r="B11" i="10"/>
  <c r="C10" i="10"/>
  <c r="B10" i="10"/>
  <c r="B28" i="9"/>
  <c r="B27" i="9"/>
  <c r="C16" i="9"/>
  <c r="B16" i="9"/>
  <c r="C11" i="9"/>
  <c r="B11" i="9"/>
  <c r="C10" i="9"/>
  <c r="B10" i="9"/>
  <c r="B12" i="8" l="1"/>
  <c r="B2" i="8"/>
  <c r="B11" i="5" l="1"/>
  <c r="B10" i="5"/>
  <c r="B16" i="5" l="1"/>
  <c r="B15" i="8" s="1"/>
  <c r="C10" i="5" l="1"/>
  <c r="C11" i="5"/>
  <c r="C16" i="5"/>
</calcChain>
</file>

<file path=xl/sharedStrings.xml><?xml version="1.0" encoding="utf-8"?>
<sst xmlns="http://schemas.openxmlformats.org/spreadsheetml/2006/main" count="537" uniqueCount="75">
  <si>
    <t>Parameters</t>
  </si>
  <si>
    <t>value</t>
  </si>
  <si>
    <t>unit</t>
  </si>
  <si>
    <t>%</t>
  </si>
  <si>
    <t>bar</t>
  </si>
  <si>
    <t>yr</t>
  </si>
  <si>
    <t>CAPEX</t>
  </si>
  <si>
    <t>€/kWel</t>
  </si>
  <si>
    <t>€/kWel/annual</t>
  </si>
  <si>
    <t>%CAPEX</t>
  </si>
  <si>
    <t>LCOE</t>
  </si>
  <si>
    <t>€/kWh</t>
  </si>
  <si>
    <t>LCOH</t>
  </si>
  <si>
    <t>€/kg</t>
  </si>
  <si>
    <t>kW</t>
  </si>
  <si>
    <t>rated_power</t>
  </si>
  <si>
    <t>efficiency</t>
  </si>
  <si>
    <t>low_range</t>
  </si>
  <si>
    <t>high_range</t>
  </si>
  <si>
    <t>pressure</t>
  </si>
  <si>
    <t>stack_lifetime</t>
  </si>
  <si>
    <t>bop_lifetime</t>
  </si>
  <si>
    <t>OPEX_fix</t>
  </si>
  <si>
    <t>OPEX_var</t>
  </si>
  <si>
    <t>installation_cost</t>
  </si>
  <si>
    <t>replacement_cost</t>
  </si>
  <si>
    <t>-</t>
  </si>
  <si>
    <t>€/kWel/h</t>
  </si>
  <si>
    <t>aggiornato alle ore in un anno</t>
  </si>
  <si>
    <t>RAMP</t>
  </si>
  <si>
    <t>kW/h</t>
  </si>
  <si>
    <t xml:space="preserve">=10% but also 5% </t>
  </si>
  <si>
    <t>value AT ZERO</t>
  </si>
  <si>
    <t>P_ely_rated</t>
  </si>
  <si>
    <t>c_ON</t>
  </si>
  <si>
    <t>c_STB</t>
  </si>
  <si>
    <t>c_OFF</t>
  </si>
  <si>
    <t>c_STB_ON</t>
  </si>
  <si>
    <t>c_ON_STB</t>
  </si>
  <si>
    <t>c_STB_OFF</t>
  </si>
  <si>
    <t>c_OFF_STB</t>
  </si>
  <si>
    <t>c_OFF_ON</t>
  </si>
  <si>
    <t>c_ON_OFF</t>
  </si>
  <si>
    <t>P_ely_STB</t>
  </si>
  <si>
    <t>P_ely_ON_min</t>
  </si>
  <si>
    <t>RAMPUP</t>
  </si>
  <si>
    <t>Value</t>
  </si>
  <si>
    <t>UoM</t>
  </si>
  <si>
    <t>Source</t>
  </si>
  <si>
    <t>Notes</t>
  </si>
  <si>
    <t>EUR/MWh</t>
  </si>
  <si>
    <t>kWh</t>
  </si>
  <si>
    <t>2500 in the case of H2GLASS. This it makes the code working</t>
  </si>
  <si>
    <t>momo</t>
  </si>
  <si>
    <t>EUR/MW</t>
  </si>
  <si>
    <t>very high value</t>
  </si>
  <si>
    <t>Liao</t>
  </si>
  <si>
    <t>of nominal P</t>
  </si>
  <si>
    <t>P_ely_0</t>
  </si>
  <si>
    <t>EUR</t>
  </si>
  <si>
    <t>UHI1_ely</t>
  </si>
  <si>
    <t>UHI2_ely</t>
  </si>
  <si>
    <t>UHI3_ely</t>
  </si>
  <si>
    <t>UHI4_ely</t>
  </si>
  <si>
    <t>UHI5_ely</t>
  </si>
  <si>
    <t>RP_min1</t>
  </si>
  <si>
    <t>RP_max1</t>
  </si>
  <si>
    <t>RP_min2</t>
  </si>
  <si>
    <t>RP_max2</t>
  </si>
  <si>
    <t>RP_min3</t>
  </si>
  <si>
    <t>RP_max3</t>
  </si>
  <si>
    <t>RP_min4</t>
  </si>
  <si>
    <t>RP_max4</t>
  </si>
  <si>
    <t>RP_min5</t>
  </si>
  <si>
    <t>RP_max5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</si>
</sst>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0" borderId="0" xfId="0" quotePrefix="1"/>
    <xf numFmtId="0" fontId="2" fillId="0" borderId="1" xfId="0" applyFont="1" applyBorder="1"/>
    <xf numFmtId="0" fontId="0" fillId="2" borderId="1" xfId="0" applyFont="1" applyFill="1" applyBorder="1"/>
    <xf numFmtId="0" fontId="0" fillId="2" borderId="1" xfId="0" applyFill="1" applyBorder="1"/>
    <xf numFmtId="0" fontId="0" fillId="3" borderId="1" xfId="0" applyFont="1" applyFill="1" applyBorder="1"/>
    <xf numFmtId="0" fontId="0" fillId="3" borderId="1" xfId="0" applyFill="1" applyBorder="1"/>
    <xf numFmtId="0" fontId="0" fillId="4" borderId="1" xfId="0" applyFont="1" applyFill="1" applyBorder="1"/>
    <xf numFmtId="0" fontId="0" fillId="4" borderId="1" xfId="0" applyFill="1" applyBorder="1"/>
    <xf numFmtId="0" fontId="0" fillId="5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3" fillId="4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2</xdr:row>
      <xdr:rowOff>114300</xdr:rowOff>
    </xdr:from>
    <xdr:to>
      <xdr:col>23</xdr:col>
      <xdr:colOff>523875</xdr:colOff>
      <xdr:row>27</xdr:row>
      <xdr:rowOff>111125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F3863519-EACD-48DA-8B9E-5BCE3E120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7350" y="476250"/>
          <a:ext cx="8210550" cy="452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2</xdr:row>
      <xdr:rowOff>114300</xdr:rowOff>
    </xdr:from>
    <xdr:to>
      <xdr:col>23</xdr:col>
      <xdr:colOff>523875</xdr:colOff>
      <xdr:row>27</xdr:row>
      <xdr:rowOff>111125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92E4C5E7-0F80-4AA5-BAC3-908534FDA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476250"/>
          <a:ext cx="8210550" cy="452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2</xdr:row>
      <xdr:rowOff>114300</xdr:rowOff>
    </xdr:from>
    <xdr:to>
      <xdr:col>23</xdr:col>
      <xdr:colOff>523875</xdr:colOff>
      <xdr:row>27</xdr:row>
      <xdr:rowOff>111125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F20FDB9B-8A01-4787-8718-00E9BED0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6875" y="482600"/>
          <a:ext cx="8210550" cy="460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2</xdr:row>
      <xdr:rowOff>114300</xdr:rowOff>
    </xdr:from>
    <xdr:to>
      <xdr:col>23</xdr:col>
      <xdr:colOff>523875</xdr:colOff>
      <xdr:row>27</xdr:row>
      <xdr:rowOff>111125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38F25375-EB26-44FA-AE04-1F37FFF08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6875" y="482600"/>
          <a:ext cx="8210550" cy="460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2</xdr:row>
      <xdr:rowOff>114300</xdr:rowOff>
    </xdr:from>
    <xdr:to>
      <xdr:col>23</xdr:col>
      <xdr:colOff>523875</xdr:colOff>
      <xdr:row>27</xdr:row>
      <xdr:rowOff>111125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1C176F49-9397-4AC3-84EF-9F4140517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6875" y="482600"/>
          <a:ext cx="8210550" cy="460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596900</xdr:colOff>
      <xdr:row>2</xdr:row>
      <xdr:rowOff>28575</xdr:rowOff>
    </xdr:from>
    <xdr:to>
      <xdr:col>19</xdr:col>
      <xdr:colOff>273050</xdr:colOff>
      <xdr:row>27</xdr:row>
      <xdr:rowOff>25400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F450431C-47A3-4E52-8557-C0B534D6C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300" y="390525"/>
          <a:ext cx="8210550" cy="452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1</xdr:row>
      <xdr:rowOff>28575</xdr:rowOff>
    </xdr:from>
    <xdr:to>
      <xdr:col>21</xdr:col>
      <xdr:colOff>304800</xdr:colOff>
      <xdr:row>26</xdr:row>
      <xdr:rowOff>19050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E8AFEE49-DDB6-4FC1-B1D5-5E500D7B0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209550"/>
          <a:ext cx="8210550" cy="451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45A1-7ED6-433B-923E-BDF0CB99E292}">
  <sheetPr codeName="Sheet5"/>
  <dimension ref="A1:E30"/>
  <sheetViews>
    <sheetView workbookViewId="0">
      <selection activeCell="B5" sqref="B5"/>
    </sheetView>
  </sheetViews>
  <sheetFormatPr defaultRowHeight="14.5" x14ac:dyDescent="0.35"/>
  <cols>
    <col min="1" max="1" width="26.81640625" customWidth="1"/>
    <col min="2" max="4" width="17.6328125" customWidth="1"/>
    <col min="5" max="5" width="42.54296875" customWidth="1"/>
  </cols>
  <sheetData>
    <row r="1" spans="1:5" x14ac:dyDescent="0.35">
      <c r="A1" s="1" t="s">
        <v>0</v>
      </c>
      <c r="B1" s="1" t="s">
        <v>32</v>
      </c>
      <c r="C1" s="1" t="s">
        <v>1</v>
      </c>
      <c r="D1" s="1" t="s">
        <v>2</v>
      </c>
    </row>
    <row r="2" spans="1:5" x14ac:dyDescent="0.35">
      <c r="A2" s="3" t="s">
        <v>15</v>
      </c>
      <c r="B2" s="3">
        <v>2500</v>
      </c>
      <c r="C2" s="3">
        <v>2500</v>
      </c>
      <c r="D2" s="3" t="s">
        <v>14</v>
      </c>
    </row>
    <row r="3" spans="1:5" x14ac:dyDescent="0.35">
      <c r="A3" s="2" t="s">
        <v>16</v>
      </c>
      <c r="B3" s="2">
        <v>0.65</v>
      </c>
      <c r="C3" s="2">
        <v>0.65</v>
      </c>
      <c r="D3" s="2" t="s">
        <v>26</v>
      </c>
    </row>
    <row r="4" spans="1:5" x14ac:dyDescent="0.35">
      <c r="A4" s="2" t="s">
        <v>17</v>
      </c>
      <c r="B4" s="2">
        <v>0.1</v>
      </c>
      <c r="C4" s="2">
        <v>0.01</v>
      </c>
      <c r="D4" s="2" t="s">
        <v>26</v>
      </c>
    </row>
    <row r="5" spans="1:5" x14ac:dyDescent="0.35">
      <c r="A5" s="2" t="s">
        <v>18</v>
      </c>
      <c r="B5" s="2">
        <v>1</v>
      </c>
      <c r="C5" s="2">
        <v>1</v>
      </c>
      <c r="D5" s="2" t="s">
        <v>26</v>
      </c>
    </row>
    <row r="6" spans="1:5" x14ac:dyDescent="0.35">
      <c r="A6" s="2" t="s">
        <v>19</v>
      </c>
      <c r="B6" s="2">
        <v>30</v>
      </c>
      <c r="C6" s="2">
        <v>30</v>
      </c>
      <c r="D6" s="2" t="s">
        <v>4</v>
      </c>
    </row>
    <row r="7" spans="1:5" x14ac:dyDescent="0.35">
      <c r="A7" s="2" t="s">
        <v>20</v>
      </c>
      <c r="B7" s="2">
        <v>10</v>
      </c>
      <c r="C7" s="2">
        <v>10</v>
      </c>
      <c r="D7" s="2" t="s">
        <v>5</v>
      </c>
    </row>
    <row r="8" spans="1:5" x14ac:dyDescent="0.35">
      <c r="A8" s="2" t="s">
        <v>21</v>
      </c>
      <c r="B8" s="2">
        <v>20</v>
      </c>
      <c r="C8" s="2">
        <v>20</v>
      </c>
      <c r="D8" s="2" t="s">
        <v>5</v>
      </c>
    </row>
    <row r="9" spans="1:5" x14ac:dyDescent="0.35">
      <c r="A9" s="2" t="s">
        <v>6</v>
      </c>
      <c r="B9" s="2">
        <v>0</v>
      </c>
      <c r="C9" s="2">
        <v>1188</v>
      </c>
      <c r="D9" s="2" t="s">
        <v>7</v>
      </c>
    </row>
    <row r="10" spans="1:5" x14ac:dyDescent="0.35">
      <c r="A10" s="2" t="s">
        <v>22</v>
      </c>
      <c r="B10" s="2">
        <f>15.54/(365*24)</f>
        <v>1.7739726027397259E-3</v>
      </c>
      <c r="C10" s="2">
        <f>15.54/(365*24)</f>
        <v>1.7739726027397259E-3</v>
      </c>
      <c r="D10" s="2" t="s">
        <v>27</v>
      </c>
      <c r="E10" t="s">
        <v>28</v>
      </c>
    </row>
    <row r="11" spans="1:5" x14ac:dyDescent="0.35">
      <c r="A11" s="2" t="s">
        <v>23</v>
      </c>
      <c r="B11" s="2">
        <f>0.04/(365*24)</f>
        <v>4.5662100456621006E-6</v>
      </c>
      <c r="C11" s="2">
        <f>0.04/(365*24)</f>
        <v>4.5662100456621006E-6</v>
      </c>
      <c r="D11" s="2" t="s">
        <v>27</v>
      </c>
      <c r="E11" t="s">
        <v>28</v>
      </c>
    </row>
    <row r="12" spans="1:5" x14ac:dyDescent="0.35">
      <c r="A12" s="2" t="s">
        <v>24</v>
      </c>
      <c r="B12" s="2">
        <v>0</v>
      </c>
      <c r="C12" s="2">
        <v>10</v>
      </c>
      <c r="D12" s="2" t="s">
        <v>9</v>
      </c>
    </row>
    <row r="13" spans="1:5" x14ac:dyDescent="0.35">
      <c r="A13" s="2" t="s">
        <v>25</v>
      </c>
      <c r="B13" s="2">
        <v>0</v>
      </c>
      <c r="C13" s="2">
        <v>35</v>
      </c>
      <c r="D13" s="2" t="s">
        <v>9</v>
      </c>
    </row>
    <row r="14" spans="1:5" x14ac:dyDescent="0.35">
      <c r="A14" s="2" t="s">
        <v>10</v>
      </c>
      <c r="B14" s="2">
        <v>0</v>
      </c>
      <c r="C14" s="2">
        <v>0</v>
      </c>
      <c r="D14" s="2" t="s">
        <v>11</v>
      </c>
    </row>
    <row r="15" spans="1:5" x14ac:dyDescent="0.35">
      <c r="A15" s="2" t="s">
        <v>12</v>
      </c>
      <c r="B15" s="2">
        <v>10.83</v>
      </c>
      <c r="C15" s="2">
        <v>10.83</v>
      </c>
      <c r="D15" s="2" t="s">
        <v>13</v>
      </c>
    </row>
    <row r="16" spans="1:5" x14ac:dyDescent="0.35">
      <c r="A16" s="2" t="s">
        <v>29</v>
      </c>
      <c r="B16" s="2">
        <f>0.4*B2</f>
        <v>1000</v>
      </c>
      <c r="C16" s="2">
        <f>0.05*C2</f>
        <v>125</v>
      </c>
      <c r="D16" s="2" t="s">
        <v>30</v>
      </c>
      <c r="E16" s="4" t="s">
        <v>31</v>
      </c>
    </row>
    <row r="17" spans="1:5" x14ac:dyDescent="0.35">
      <c r="A17" s="3" t="s">
        <v>34</v>
      </c>
      <c r="B17" s="2">
        <v>0</v>
      </c>
      <c r="C17" s="2" t="s">
        <v>50</v>
      </c>
      <c r="D17" s="2" t="s">
        <v>53</v>
      </c>
      <c r="E17" s="2"/>
    </row>
    <row r="18" spans="1:5" x14ac:dyDescent="0.35">
      <c r="A18" s="3" t="s">
        <v>35</v>
      </c>
      <c r="B18" s="2">
        <v>0</v>
      </c>
      <c r="C18" s="2" t="s">
        <v>50</v>
      </c>
      <c r="D18" s="2" t="s">
        <v>53</v>
      </c>
      <c r="E18" s="2"/>
    </row>
    <row r="19" spans="1:5" x14ac:dyDescent="0.35">
      <c r="A19" s="3" t="s">
        <v>36</v>
      </c>
      <c r="B19" s="2">
        <v>0</v>
      </c>
      <c r="C19" s="2" t="s">
        <v>50</v>
      </c>
      <c r="D19" s="2"/>
      <c r="E19" s="2"/>
    </row>
    <row r="20" spans="1:5" x14ac:dyDescent="0.35">
      <c r="A20" s="3" t="s">
        <v>37</v>
      </c>
      <c r="B20" s="2">
        <v>0</v>
      </c>
      <c r="C20" s="2" t="s">
        <v>54</v>
      </c>
      <c r="D20" s="2" t="s">
        <v>56</v>
      </c>
      <c r="E20" s="2"/>
    </row>
    <row r="21" spans="1:5" x14ac:dyDescent="0.35">
      <c r="A21" s="3" t="s">
        <v>38</v>
      </c>
      <c r="B21" s="2">
        <v>0</v>
      </c>
      <c r="C21" s="2" t="s">
        <v>54</v>
      </c>
      <c r="D21" s="2" t="s">
        <v>56</v>
      </c>
      <c r="E21" s="2"/>
    </row>
    <row r="22" spans="1:5" x14ac:dyDescent="0.35">
      <c r="A22" s="3" t="s">
        <v>39</v>
      </c>
      <c r="B22" s="2">
        <v>0</v>
      </c>
      <c r="C22" s="2" t="s">
        <v>54</v>
      </c>
      <c r="D22" s="2" t="s">
        <v>56</v>
      </c>
      <c r="E22" s="2"/>
    </row>
    <row r="23" spans="1:5" x14ac:dyDescent="0.35">
      <c r="A23" s="3" t="s">
        <v>40</v>
      </c>
      <c r="B23" s="5">
        <v>0</v>
      </c>
      <c r="C23" s="2" t="s">
        <v>54</v>
      </c>
      <c r="D23" s="2"/>
      <c r="E23" s="2" t="s">
        <v>55</v>
      </c>
    </row>
    <row r="24" spans="1:5" x14ac:dyDescent="0.35">
      <c r="A24" s="3" t="s">
        <v>41</v>
      </c>
      <c r="B24" s="5">
        <v>0</v>
      </c>
      <c r="C24" s="2" t="s">
        <v>54</v>
      </c>
      <c r="D24" s="2" t="s">
        <v>56</v>
      </c>
      <c r="E24" s="2"/>
    </row>
    <row r="25" spans="1:5" x14ac:dyDescent="0.35">
      <c r="A25" s="3" t="s">
        <v>42</v>
      </c>
      <c r="B25" s="2">
        <v>0</v>
      </c>
      <c r="C25" s="2" t="s">
        <v>54</v>
      </c>
      <c r="D25" s="2" t="s">
        <v>56</v>
      </c>
      <c r="E25" s="2"/>
    </row>
    <row r="26" spans="1:5" x14ac:dyDescent="0.35">
      <c r="A26" s="3" t="s">
        <v>58</v>
      </c>
      <c r="B26" s="2">
        <v>0</v>
      </c>
      <c r="C26" s="2" t="s">
        <v>14</v>
      </c>
      <c r="D26" s="2"/>
      <c r="E26" s="2"/>
    </row>
    <row r="27" spans="1:5" x14ac:dyDescent="0.35">
      <c r="A27" s="3" t="s">
        <v>43</v>
      </c>
      <c r="B27" s="2">
        <f>0.035*B2</f>
        <v>87.500000000000014</v>
      </c>
      <c r="C27" s="2" t="s">
        <v>14</v>
      </c>
      <c r="D27" s="2"/>
      <c r="E27" s="2"/>
    </row>
    <row r="28" spans="1:5" x14ac:dyDescent="0.35">
      <c r="A28" s="3" t="s">
        <v>44</v>
      </c>
      <c r="B28" s="2">
        <f>0.1*B2</f>
        <v>250</v>
      </c>
      <c r="C28" s="2" t="s">
        <v>14</v>
      </c>
      <c r="D28" s="2"/>
      <c r="E28" s="2"/>
    </row>
    <row r="30" spans="1:5" x14ac:dyDescent="0.35">
      <c r="A30" s="1"/>
      <c r="B30" s="2"/>
      <c r="C30" s="2"/>
      <c r="D30" s="2"/>
      <c r="E30" s="2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3C2A-B4D9-439A-9540-59A75A22B7D5}">
  <sheetPr codeName="Sheet1"/>
  <dimension ref="A1:F43"/>
  <sheetViews>
    <sheetView tabSelected="1" topLeftCell="A20" workbookViewId="0">
      <selection activeCell="B30" sqref="B30"/>
    </sheetView>
  </sheetViews>
  <sheetFormatPr defaultRowHeight="14.5" x14ac:dyDescent="0.35"/>
  <cols>
    <col min="1" max="1" width="26.81640625" customWidth="1"/>
    <col min="2" max="4" width="17.6328125" customWidth="1"/>
    <col min="5" max="5" width="42.54296875" customWidth="1"/>
  </cols>
  <sheetData>
    <row r="1" spans="1:5" x14ac:dyDescent="0.35">
      <c r="A1" s="1" t="s">
        <v>0</v>
      </c>
      <c r="B1" s="1" t="s">
        <v>32</v>
      </c>
      <c r="C1" s="1" t="s">
        <v>1</v>
      </c>
      <c r="D1" s="1" t="s">
        <v>2</v>
      </c>
    </row>
    <row r="2" spans="1:5" x14ac:dyDescent="0.35">
      <c r="A2" s="3" t="s">
        <v>15</v>
      </c>
      <c r="B2" s="3">
        <v>2500</v>
      </c>
      <c r="C2" s="3">
        <v>2500</v>
      </c>
      <c r="D2" s="3" t="s">
        <v>14</v>
      </c>
    </row>
    <row r="3" spans="1:5" x14ac:dyDescent="0.35">
      <c r="A3" s="2" t="s">
        <v>16</v>
      </c>
      <c r="B3" s="2">
        <v>0.65</v>
      </c>
      <c r="C3" s="2">
        <v>0.65</v>
      </c>
      <c r="D3" s="2" t="s">
        <v>26</v>
      </c>
    </row>
    <row r="4" spans="1:5" x14ac:dyDescent="0.35">
      <c r="A4" s="2" t="s">
        <v>17</v>
      </c>
      <c r="B4" s="2">
        <v>0.1</v>
      </c>
      <c r="C4" s="2">
        <v>0.01</v>
      </c>
      <c r="D4" s="2" t="s">
        <v>26</v>
      </c>
    </row>
    <row r="5" spans="1:5" x14ac:dyDescent="0.35">
      <c r="A5" s="2" t="s">
        <v>18</v>
      </c>
      <c r="B5" s="2">
        <v>1</v>
      </c>
      <c r="C5" s="2">
        <v>1</v>
      </c>
      <c r="D5" s="2" t="s">
        <v>26</v>
      </c>
    </row>
    <row r="6" spans="1:5" x14ac:dyDescent="0.35">
      <c r="A6" s="2" t="s">
        <v>19</v>
      </c>
      <c r="B6" s="2">
        <v>30</v>
      </c>
      <c r="C6" s="2">
        <v>30</v>
      </c>
      <c r="D6" s="2" t="s">
        <v>4</v>
      </c>
    </row>
    <row r="7" spans="1:5" x14ac:dyDescent="0.35">
      <c r="A7" s="2" t="s">
        <v>20</v>
      </c>
      <c r="B7" s="2">
        <v>10</v>
      </c>
      <c r="C7" s="2">
        <v>10</v>
      </c>
      <c r="D7" s="2" t="s">
        <v>5</v>
      </c>
    </row>
    <row r="8" spans="1:5" x14ac:dyDescent="0.35">
      <c r="A8" s="2" t="s">
        <v>21</v>
      </c>
      <c r="B8" s="2">
        <v>20</v>
      </c>
      <c r="C8" s="2">
        <v>20</v>
      </c>
      <c r="D8" s="2" t="s">
        <v>5</v>
      </c>
    </row>
    <row r="9" spans="1:5" x14ac:dyDescent="0.35">
      <c r="A9" s="2" t="s">
        <v>6</v>
      </c>
      <c r="B9" s="2">
        <v>0</v>
      </c>
      <c r="C9" s="2">
        <v>1188</v>
      </c>
      <c r="D9" s="2" t="s">
        <v>7</v>
      </c>
    </row>
    <row r="10" spans="1:5" x14ac:dyDescent="0.35">
      <c r="A10" s="2" t="s">
        <v>22</v>
      </c>
      <c r="B10" s="2">
        <f>15.54/(365*24)</f>
        <v>1.7739726027397259E-3</v>
      </c>
      <c r="C10" s="2">
        <f>15.54/(365*24)</f>
        <v>1.7739726027397259E-3</v>
      </c>
      <c r="D10" s="2" t="s">
        <v>27</v>
      </c>
      <c r="E10" t="s">
        <v>28</v>
      </c>
    </row>
    <row r="11" spans="1:5" x14ac:dyDescent="0.35">
      <c r="A11" s="2" t="s">
        <v>23</v>
      </c>
      <c r="B11" s="2">
        <f>0.04/(365*24)</f>
        <v>4.5662100456621006E-6</v>
      </c>
      <c r="C11" s="2">
        <f>0.04/(365*24)</f>
        <v>4.5662100456621006E-6</v>
      </c>
      <c r="D11" s="2" t="s">
        <v>27</v>
      </c>
      <c r="E11" t="s">
        <v>28</v>
      </c>
    </row>
    <row r="12" spans="1:5" x14ac:dyDescent="0.35">
      <c r="A12" s="2" t="s">
        <v>24</v>
      </c>
      <c r="B12" s="2">
        <v>0</v>
      </c>
      <c r="C12" s="2">
        <v>10</v>
      </c>
      <c r="D12" s="2" t="s">
        <v>9</v>
      </c>
    </row>
    <row r="13" spans="1:5" x14ac:dyDescent="0.35">
      <c r="A13" s="2" t="s">
        <v>25</v>
      </c>
      <c r="B13" s="2">
        <v>0</v>
      </c>
      <c r="C13" s="2">
        <v>35</v>
      </c>
      <c r="D13" s="2" t="s">
        <v>9</v>
      </c>
    </row>
    <row r="14" spans="1:5" x14ac:dyDescent="0.35">
      <c r="A14" s="2" t="s">
        <v>10</v>
      </c>
      <c r="B14" s="2">
        <v>0</v>
      </c>
      <c r="C14" s="2">
        <v>0</v>
      </c>
      <c r="D14" s="2" t="s">
        <v>11</v>
      </c>
    </row>
    <row r="15" spans="1:5" x14ac:dyDescent="0.35">
      <c r="A15" s="2" t="s">
        <v>12</v>
      </c>
      <c r="B15" s="2">
        <v>10.83</v>
      </c>
      <c r="C15" s="2">
        <v>10.83</v>
      </c>
      <c r="D15" s="2" t="s">
        <v>13</v>
      </c>
    </row>
    <row r="16" spans="1:5" x14ac:dyDescent="0.35">
      <c r="A16" s="2" t="s">
        <v>29</v>
      </c>
      <c r="B16" s="2">
        <f>0.4*B2</f>
        <v>1000</v>
      </c>
      <c r="C16" s="2">
        <f>0.05*C2</f>
        <v>125</v>
      </c>
      <c r="D16" s="2" t="s">
        <v>30</v>
      </c>
      <c r="E16" s="4" t="s">
        <v>31</v>
      </c>
    </row>
    <row r="17" spans="1:6" x14ac:dyDescent="0.35">
      <c r="A17" s="3" t="s">
        <v>34</v>
      </c>
      <c r="B17" s="2">
        <v>3.3399999999999999E-2</v>
      </c>
      <c r="C17" s="2" t="s">
        <v>50</v>
      </c>
      <c r="D17" s="2" t="s">
        <v>53</v>
      </c>
      <c r="E17" s="2"/>
      <c r="F17">
        <v>3.3399999999999999E-2</v>
      </c>
    </row>
    <row r="18" spans="1:6" x14ac:dyDescent="0.35">
      <c r="A18" s="3" t="s">
        <v>35</v>
      </c>
      <c r="B18" s="2">
        <v>4.1999999999999997E-3</v>
      </c>
      <c r="C18" s="2" t="s">
        <v>50</v>
      </c>
      <c r="D18" s="2" t="s">
        <v>53</v>
      </c>
      <c r="E18" s="2"/>
      <c r="F18">
        <v>4.1999999999999997E-3</v>
      </c>
    </row>
    <row r="19" spans="1:6" x14ac:dyDescent="0.35">
      <c r="A19" s="3" t="s">
        <v>36</v>
      </c>
      <c r="B19" s="2">
        <v>0</v>
      </c>
      <c r="C19" s="2" t="s">
        <v>50</v>
      </c>
      <c r="D19" s="2"/>
      <c r="E19" s="2"/>
      <c r="F19">
        <v>0</v>
      </c>
    </row>
    <row r="20" spans="1:6" x14ac:dyDescent="0.35">
      <c r="A20" s="3" t="s">
        <v>37</v>
      </c>
      <c r="B20" s="2">
        <f>0*B2</f>
        <v>0</v>
      </c>
      <c r="C20" s="2" t="s">
        <v>59</v>
      </c>
      <c r="D20" s="2" t="s">
        <v>56</v>
      </c>
      <c r="E20" s="2"/>
      <c r="F20">
        <v>0</v>
      </c>
    </row>
    <row r="21" spans="1:6" x14ac:dyDescent="0.35">
      <c r="A21" s="3" t="s">
        <v>38</v>
      </c>
      <c r="B21" s="2">
        <f>0*B2</f>
        <v>0</v>
      </c>
      <c r="C21" s="2" t="s">
        <v>59</v>
      </c>
      <c r="D21" s="2" t="s">
        <v>56</v>
      </c>
      <c r="E21" s="2"/>
      <c r="F21">
        <v>0</v>
      </c>
    </row>
    <row r="22" spans="1:6" x14ac:dyDescent="0.35">
      <c r="A22" s="3" t="s">
        <v>39</v>
      </c>
      <c r="B22" s="2">
        <f>0*B2</f>
        <v>0</v>
      </c>
      <c r="C22" s="2" t="s">
        <v>59</v>
      </c>
      <c r="D22" s="2" t="s">
        <v>56</v>
      </c>
      <c r="E22" s="2"/>
      <c r="F22">
        <v>0</v>
      </c>
    </row>
    <row r="23" spans="1:6" x14ac:dyDescent="0.35">
      <c r="A23" s="3" t="s">
        <v>40</v>
      </c>
      <c r="B23" s="5">
        <f>1000</f>
        <v>1000</v>
      </c>
      <c r="C23" s="2" t="s">
        <v>59</v>
      </c>
      <c r="D23" s="2"/>
      <c r="E23" s="2" t="s">
        <v>55</v>
      </c>
      <c r="F23">
        <v>1000</v>
      </c>
    </row>
    <row r="24" spans="1:6" x14ac:dyDescent="0.35">
      <c r="A24" s="3" t="s">
        <v>41</v>
      </c>
      <c r="B24" s="5">
        <f>12.5*B2/1000</f>
        <v>31.25</v>
      </c>
      <c r="C24" s="2" t="s">
        <v>59</v>
      </c>
      <c r="D24" s="2" t="s">
        <v>56</v>
      </c>
      <c r="E24" s="2"/>
      <c r="F24">
        <v>31.25</v>
      </c>
    </row>
    <row r="25" spans="1:6" x14ac:dyDescent="0.35">
      <c r="A25" s="3" t="s">
        <v>42</v>
      </c>
      <c r="B25" s="2">
        <v>0</v>
      </c>
      <c r="C25" s="2" t="s">
        <v>59</v>
      </c>
      <c r="D25" s="2" t="s">
        <v>56</v>
      </c>
      <c r="E25" s="2"/>
      <c r="F25">
        <v>0</v>
      </c>
    </row>
    <row r="26" spans="1:6" x14ac:dyDescent="0.35">
      <c r="A26" s="3" t="s">
        <v>58</v>
      </c>
      <c r="B26" s="2">
        <v>0</v>
      </c>
      <c r="C26" s="2" t="s">
        <v>14</v>
      </c>
      <c r="D26" s="2"/>
      <c r="E26" s="2"/>
    </row>
    <row r="27" spans="1:6" x14ac:dyDescent="0.35">
      <c r="A27" s="3" t="s">
        <v>43</v>
      </c>
      <c r="B27" s="2">
        <f>0.01*B2</f>
        <v>25</v>
      </c>
      <c r="C27" s="2" t="s">
        <v>14</v>
      </c>
      <c r="D27" s="2"/>
      <c r="E27" s="2"/>
    </row>
    <row r="28" spans="1:6" x14ac:dyDescent="0.35">
      <c r="A28" s="3" t="s">
        <v>44</v>
      </c>
      <c r="B28" s="2">
        <f>0.1*B2</f>
        <v>250</v>
      </c>
      <c r="C28" s="2" t="s">
        <v>14</v>
      </c>
      <c r="D28" s="2"/>
      <c r="E28" s="2"/>
    </row>
    <row r="29" spans="1:6" x14ac:dyDescent="0.35">
      <c r="A29" s="16" t="s">
        <v>65</v>
      </c>
      <c r="B29" s="2">
        <v>0</v>
      </c>
      <c r="C29" s="2" t="s">
        <v>14</v>
      </c>
      <c r="D29" s="2"/>
      <c r="E29" s="2"/>
    </row>
    <row r="30" spans="1:6" x14ac:dyDescent="0.35">
      <c r="A30" s="16" t="s">
        <v>66</v>
      </c>
      <c r="B30" s="2">
        <f>20/100*$B$2</f>
        <v>500</v>
      </c>
      <c r="C30" s="2" t="s">
        <v>14</v>
      </c>
      <c r="D30" s="2"/>
      <c r="E30" s="2"/>
    </row>
    <row r="31" spans="1:6" x14ac:dyDescent="0.35">
      <c r="A31" s="16" t="s">
        <v>67</v>
      </c>
      <c r="B31" s="2">
        <f>20/100*$B$2</f>
        <v>500</v>
      </c>
      <c r="C31" s="2" t="s">
        <v>14</v>
      </c>
      <c r="D31" s="2"/>
      <c r="E31" s="2"/>
    </row>
    <row r="32" spans="1:6" x14ac:dyDescent="0.35">
      <c r="A32" s="16" t="s">
        <v>68</v>
      </c>
      <c r="B32" s="2">
        <f>40/100*$B$2</f>
        <v>1000</v>
      </c>
      <c r="C32" s="2" t="s">
        <v>14</v>
      </c>
      <c r="D32" s="2"/>
      <c r="E32" s="2"/>
    </row>
    <row r="33" spans="1:5" x14ac:dyDescent="0.35">
      <c r="A33" s="16" t="s">
        <v>69</v>
      </c>
      <c r="B33" s="2">
        <f>40/100*$B$2</f>
        <v>1000</v>
      </c>
      <c r="C33" s="2" t="s">
        <v>14</v>
      </c>
      <c r="D33" s="2"/>
      <c r="E33" s="2"/>
    </row>
    <row r="34" spans="1:5" x14ac:dyDescent="0.35">
      <c r="A34" s="16" t="s">
        <v>70</v>
      </c>
      <c r="B34" s="2">
        <f>60/100*$B$2</f>
        <v>1500</v>
      </c>
      <c r="C34" s="2" t="s">
        <v>14</v>
      </c>
      <c r="D34" s="2"/>
      <c r="E34" s="2"/>
    </row>
    <row r="35" spans="1:5" x14ac:dyDescent="0.35">
      <c r="A35" s="16" t="s">
        <v>71</v>
      </c>
      <c r="B35" s="2">
        <f>60/100*$B$2</f>
        <v>1500</v>
      </c>
      <c r="C35" s="2" t="s">
        <v>14</v>
      </c>
      <c r="D35" s="2"/>
      <c r="E35" s="2"/>
    </row>
    <row r="36" spans="1:5" x14ac:dyDescent="0.35">
      <c r="A36" s="16" t="s">
        <v>72</v>
      </c>
      <c r="B36" s="2">
        <f>80/100*$B$2</f>
        <v>2000</v>
      </c>
      <c r="C36" s="2" t="s">
        <v>14</v>
      </c>
      <c r="D36" s="2"/>
      <c r="E36" s="2"/>
    </row>
    <row r="37" spans="1:5" x14ac:dyDescent="0.35">
      <c r="A37" s="16" t="s">
        <v>73</v>
      </c>
      <c r="B37" s="2">
        <f>80/100*$B$2</f>
        <v>2000</v>
      </c>
      <c r="C37" s="2" t="s">
        <v>14</v>
      </c>
      <c r="D37" s="2"/>
      <c r="E37" s="2"/>
    </row>
    <row r="38" spans="1:5" x14ac:dyDescent="0.35">
      <c r="A38" s="16" t="s">
        <v>74</v>
      </c>
      <c r="B38" s="2">
        <f>100/100*$B$2</f>
        <v>2500</v>
      </c>
      <c r="C38" s="2" t="s">
        <v>14</v>
      </c>
      <c r="D38" s="2"/>
      <c r="E38" s="2"/>
    </row>
    <row r="39" spans="1:5" x14ac:dyDescent="0.35">
      <c r="A39" s="16" t="s">
        <v>60</v>
      </c>
      <c r="B39" s="16">
        <v>1</v>
      </c>
      <c r="C39" s="2"/>
      <c r="D39" s="2"/>
      <c r="E39" s="2"/>
    </row>
    <row r="40" spans="1:5" x14ac:dyDescent="0.35">
      <c r="A40" s="16" t="s">
        <v>61</v>
      </c>
      <c r="B40" s="16">
        <v>2</v>
      </c>
      <c r="C40" s="2"/>
      <c r="D40" s="2"/>
      <c r="E40" s="2"/>
    </row>
    <row r="41" spans="1:5" x14ac:dyDescent="0.35">
      <c r="A41" s="16" t="s">
        <v>62</v>
      </c>
      <c r="B41" s="16">
        <v>3</v>
      </c>
      <c r="C41" s="2"/>
      <c r="D41" s="2"/>
      <c r="E41" s="2"/>
    </row>
    <row r="42" spans="1:5" x14ac:dyDescent="0.35">
      <c r="A42" s="16" t="s">
        <v>63</v>
      </c>
      <c r="B42" s="16">
        <v>4</v>
      </c>
      <c r="C42" s="2"/>
      <c r="D42" s="2"/>
      <c r="E42" s="2"/>
    </row>
    <row r="43" spans="1:5" x14ac:dyDescent="0.35">
      <c r="A43" s="16" t="s">
        <v>64</v>
      </c>
      <c r="B43" s="16">
        <v>5</v>
      </c>
      <c r="C43" s="2"/>
      <c r="D43" s="2"/>
      <c r="E43" s="2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D80C-FE53-48A5-88CF-F47438305C7A}">
  <dimension ref="A1:E30"/>
  <sheetViews>
    <sheetView workbookViewId="0">
      <selection activeCell="B24" sqref="B24"/>
    </sheetView>
  </sheetViews>
  <sheetFormatPr defaultRowHeight="14.5" x14ac:dyDescent="0.35"/>
  <cols>
    <col min="1" max="1" width="26.81640625" customWidth="1"/>
    <col min="2" max="4" width="17.6328125" customWidth="1"/>
    <col min="5" max="5" width="42.54296875" customWidth="1"/>
  </cols>
  <sheetData>
    <row r="1" spans="1:5" x14ac:dyDescent="0.35">
      <c r="A1" s="1" t="s">
        <v>0</v>
      </c>
      <c r="B1" s="1" t="s">
        <v>32</v>
      </c>
      <c r="C1" s="1" t="s">
        <v>1</v>
      </c>
      <c r="D1" s="1" t="s">
        <v>2</v>
      </c>
    </row>
    <row r="2" spans="1:5" x14ac:dyDescent="0.35">
      <c r="A2" s="3" t="s">
        <v>15</v>
      </c>
      <c r="B2" s="3">
        <v>2500</v>
      </c>
      <c r="C2" s="3">
        <v>2500</v>
      </c>
      <c r="D2" s="3" t="s">
        <v>14</v>
      </c>
    </row>
    <row r="3" spans="1:5" x14ac:dyDescent="0.35">
      <c r="A3" s="2" t="s">
        <v>16</v>
      </c>
      <c r="B3" s="2">
        <v>0.65</v>
      </c>
      <c r="C3" s="2">
        <v>0.65</v>
      </c>
      <c r="D3" s="2" t="s">
        <v>26</v>
      </c>
    </row>
    <row r="4" spans="1:5" x14ac:dyDescent="0.35">
      <c r="A4" s="2" t="s">
        <v>17</v>
      </c>
      <c r="B4" s="2">
        <v>0.1</v>
      </c>
      <c r="C4" s="2">
        <v>0.01</v>
      </c>
      <c r="D4" s="2" t="s">
        <v>26</v>
      </c>
    </row>
    <row r="5" spans="1:5" x14ac:dyDescent="0.35">
      <c r="A5" s="2" t="s">
        <v>18</v>
      </c>
      <c r="B5" s="2">
        <v>1</v>
      </c>
      <c r="C5" s="2">
        <v>1</v>
      </c>
      <c r="D5" s="2" t="s">
        <v>26</v>
      </c>
    </row>
    <row r="6" spans="1:5" x14ac:dyDescent="0.35">
      <c r="A6" s="2" t="s">
        <v>19</v>
      </c>
      <c r="B6" s="2">
        <v>30</v>
      </c>
      <c r="C6" s="2">
        <v>30</v>
      </c>
      <c r="D6" s="2" t="s">
        <v>4</v>
      </c>
    </row>
    <row r="7" spans="1:5" x14ac:dyDescent="0.35">
      <c r="A7" s="2" t="s">
        <v>20</v>
      </c>
      <c r="B7" s="2">
        <v>10</v>
      </c>
      <c r="C7" s="2">
        <v>10</v>
      </c>
      <c r="D7" s="2" t="s">
        <v>5</v>
      </c>
    </row>
    <row r="8" spans="1:5" x14ac:dyDescent="0.35">
      <c r="A8" s="2" t="s">
        <v>21</v>
      </c>
      <c r="B8" s="2">
        <v>20</v>
      </c>
      <c r="C8" s="2">
        <v>20</v>
      </c>
      <c r="D8" s="2" t="s">
        <v>5</v>
      </c>
    </row>
    <row r="9" spans="1:5" x14ac:dyDescent="0.35">
      <c r="A9" s="2" t="s">
        <v>6</v>
      </c>
      <c r="B9" s="2">
        <v>0</v>
      </c>
      <c r="C9" s="2">
        <v>1188</v>
      </c>
      <c r="D9" s="2" t="s">
        <v>7</v>
      </c>
    </row>
    <row r="10" spans="1:5" x14ac:dyDescent="0.35">
      <c r="A10" s="2" t="s">
        <v>22</v>
      </c>
      <c r="B10" s="2">
        <f>15.54/(365*24)</f>
        <v>1.7739726027397259E-3</v>
      </c>
      <c r="C10" s="2">
        <f>15.54/(365*24)</f>
        <v>1.7739726027397259E-3</v>
      </c>
      <c r="D10" s="2" t="s">
        <v>27</v>
      </c>
      <c r="E10" t="s">
        <v>28</v>
      </c>
    </row>
    <row r="11" spans="1:5" x14ac:dyDescent="0.35">
      <c r="A11" s="2" t="s">
        <v>23</v>
      </c>
      <c r="B11" s="2">
        <f>0.04/(365*24)</f>
        <v>4.5662100456621006E-6</v>
      </c>
      <c r="C11" s="2">
        <f>0.04/(365*24)</f>
        <v>4.5662100456621006E-6</v>
      </c>
      <c r="D11" s="2" t="s">
        <v>27</v>
      </c>
      <c r="E11" t="s">
        <v>28</v>
      </c>
    </row>
    <row r="12" spans="1:5" x14ac:dyDescent="0.35">
      <c r="A12" s="2" t="s">
        <v>24</v>
      </c>
      <c r="B12" s="2">
        <v>0</v>
      </c>
      <c r="C12" s="2">
        <v>10</v>
      </c>
      <c r="D12" s="2" t="s">
        <v>9</v>
      </c>
    </row>
    <row r="13" spans="1:5" x14ac:dyDescent="0.35">
      <c r="A13" s="2" t="s">
        <v>25</v>
      </c>
      <c r="B13" s="2">
        <v>0</v>
      </c>
      <c r="C13" s="2">
        <v>35</v>
      </c>
      <c r="D13" s="2" t="s">
        <v>9</v>
      </c>
    </row>
    <row r="14" spans="1:5" x14ac:dyDescent="0.35">
      <c r="A14" s="2" t="s">
        <v>10</v>
      </c>
      <c r="B14" s="2">
        <v>0</v>
      </c>
      <c r="C14" s="2">
        <v>0</v>
      </c>
      <c r="D14" s="2" t="s">
        <v>11</v>
      </c>
    </row>
    <row r="15" spans="1:5" x14ac:dyDescent="0.35">
      <c r="A15" s="2" t="s">
        <v>12</v>
      </c>
      <c r="B15" s="2">
        <v>10.83</v>
      </c>
      <c r="C15" s="2">
        <v>10.83</v>
      </c>
      <c r="D15" s="2" t="s">
        <v>13</v>
      </c>
    </row>
    <row r="16" spans="1:5" x14ac:dyDescent="0.35">
      <c r="A16" s="2" t="s">
        <v>29</v>
      </c>
      <c r="B16" s="2">
        <f>0.4*B2</f>
        <v>1000</v>
      </c>
      <c r="C16" s="2">
        <f>0.05*C2</f>
        <v>125</v>
      </c>
      <c r="D16" s="2" t="s">
        <v>30</v>
      </c>
      <c r="E16" s="4" t="s">
        <v>31</v>
      </c>
    </row>
    <row r="17" spans="1:5" x14ac:dyDescent="0.35">
      <c r="A17" s="3" t="s">
        <v>34</v>
      </c>
      <c r="B17" s="2">
        <v>3.3399999999999999E-2</v>
      </c>
      <c r="C17" s="2" t="s">
        <v>50</v>
      </c>
      <c r="D17" s="2" t="s">
        <v>53</v>
      </c>
      <c r="E17" s="2"/>
    </row>
    <row r="18" spans="1:5" x14ac:dyDescent="0.35">
      <c r="A18" s="3" t="s">
        <v>35</v>
      </c>
      <c r="B18" s="2">
        <v>4.1999999999999997E-3</v>
      </c>
      <c r="C18" s="2" t="s">
        <v>50</v>
      </c>
      <c r="D18" s="2" t="s">
        <v>53</v>
      </c>
      <c r="E18" s="2"/>
    </row>
    <row r="19" spans="1:5" x14ac:dyDescent="0.35">
      <c r="A19" s="3" t="s">
        <v>36</v>
      </c>
      <c r="B19" s="2">
        <v>0</v>
      </c>
      <c r="C19" s="2" t="s">
        <v>50</v>
      </c>
      <c r="D19" s="2"/>
      <c r="E19" s="2"/>
    </row>
    <row r="20" spans="1:5" x14ac:dyDescent="0.35">
      <c r="A20" s="3" t="s">
        <v>37</v>
      </c>
      <c r="B20" s="2">
        <f>0*B2</f>
        <v>0</v>
      </c>
      <c r="C20" s="2" t="s">
        <v>59</v>
      </c>
      <c r="D20" s="2" t="s">
        <v>56</v>
      </c>
      <c r="E20" s="2"/>
    </row>
    <row r="21" spans="1:5" x14ac:dyDescent="0.35">
      <c r="A21" s="3" t="s">
        <v>38</v>
      </c>
      <c r="B21" s="2">
        <f>0*B2</f>
        <v>0</v>
      </c>
      <c r="C21" s="2" t="s">
        <v>59</v>
      </c>
      <c r="D21" s="2" t="s">
        <v>56</v>
      </c>
      <c r="E21" s="2"/>
    </row>
    <row r="22" spans="1:5" x14ac:dyDescent="0.35">
      <c r="A22" s="3" t="s">
        <v>39</v>
      </c>
      <c r="B22" s="2">
        <f>0*B2</f>
        <v>0</v>
      </c>
      <c r="C22" s="2" t="s">
        <v>59</v>
      </c>
      <c r="D22" s="2" t="s">
        <v>56</v>
      </c>
      <c r="E22" s="2"/>
    </row>
    <row r="23" spans="1:5" x14ac:dyDescent="0.35">
      <c r="A23" s="3" t="s">
        <v>40</v>
      </c>
      <c r="B23" s="5">
        <f>1000</f>
        <v>1000</v>
      </c>
      <c r="C23" s="2" t="s">
        <v>59</v>
      </c>
      <c r="D23" s="2"/>
      <c r="E23" s="2" t="s">
        <v>55</v>
      </c>
    </row>
    <row r="24" spans="1:5" x14ac:dyDescent="0.35">
      <c r="A24" s="3" t="s">
        <v>41</v>
      </c>
      <c r="B24" s="5">
        <f>12.5*B2/1000</f>
        <v>31.25</v>
      </c>
      <c r="C24" s="2" t="s">
        <v>59</v>
      </c>
      <c r="D24" s="2" t="s">
        <v>56</v>
      </c>
      <c r="E24" s="2"/>
    </row>
    <row r="25" spans="1:5" x14ac:dyDescent="0.35">
      <c r="A25" s="3" t="s">
        <v>42</v>
      </c>
      <c r="B25" s="2">
        <v>0</v>
      </c>
      <c r="C25" s="2" t="s">
        <v>59</v>
      </c>
      <c r="D25" s="2" t="s">
        <v>56</v>
      </c>
      <c r="E25" s="2"/>
    </row>
    <row r="26" spans="1:5" x14ac:dyDescent="0.35">
      <c r="A26" s="3" t="s">
        <v>58</v>
      </c>
      <c r="B26" s="2">
        <v>0</v>
      </c>
      <c r="C26" s="2" t="s">
        <v>14</v>
      </c>
      <c r="D26" s="2"/>
      <c r="E26" s="2"/>
    </row>
    <row r="27" spans="1:5" x14ac:dyDescent="0.35">
      <c r="A27" s="3" t="s">
        <v>43</v>
      </c>
      <c r="B27" s="2">
        <f>0.01*B2</f>
        <v>25</v>
      </c>
      <c r="C27" s="2" t="s">
        <v>14</v>
      </c>
      <c r="D27" s="2"/>
      <c r="E27" s="2"/>
    </row>
    <row r="28" spans="1:5" x14ac:dyDescent="0.35">
      <c r="A28" s="3" t="s">
        <v>44</v>
      </c>
      <c r="B28" s="2">
        <f>0.1*B2</f>
        <v>250</v>
      </c>
      <c r="C28" s="2" t="s">
        <v>14</v>
      </c>
      <c r="D28" s="2"/>
      <c r="E28" s="2"/>
    </row>
    <row r="30" spans="1:5" x14ac:dyDescent="0.35">
      <c r="A30" s="1"/>
      <c r="B30" s="2"/>
      <c r="C30" s="2"/>
      <c r="D30" s="2"/>
      <c r="E30" s="2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2530-979F-4BC7-9CD5-4D74921C5D62}">
  <dimension ref="A1:E30"/>
  <sheetViews>
    <sheetView workbookViewId="0">
      <selection activeCell="B5" sqref="B5"/>
    </sheetView>
  </sheetViews>
  <sheetFormatPr defaultRowHeight="14.5" x14ac:dyDescent="0.35"/>
  <cols>
    <col min="1" max="1" width="26.81640625" customWidth="1"/>
    <col min="2" max="4" width="17.6328125" customWidth="1"/>
    <col min="5" max="5" width="42.54296875" customWidth="1"/>
  </cols>
  <sheetData>
    <row r="1" spans="1:5" x14ac:dyDescent="0.35">
      <c r="A1" s="1" t="s">
        <v>0</v>
      </c>
      <c r="B1" s="1" t="s">
        <v>32</v>
      </c>
      <c r="C1" s="1" t="s">
        <v>1</v>
      </c>
      <c r="D1" s="1" t="s">
        <v>2</v>
      </c>
    </row>
    <row r="2" spans="1:5" x14ac:dyDescent="0.35">
      <c r="A2" s="3" t="s">
        <v>15</v>
      </c>
      <c r="B2" s="3">
        <v>2500</v>
      </c>
      <c r="C2" s="3">
        <v>2500</v>
      </c>
      <c r="D2" s="3" t="s">
        <v>14</v>
      </c>
    </row>
    <row r="3" spans="1:5" x14ac:dyDescent="0.35">
      <c r="A3" s="2" t="s">
        <v>16</v>
      </c>
      <c r="B3" s="2">
        <v>0.65</v>
      </c>
      <c r="C3" s="2">
        <v>0.65</v>
      </c>
      <c r="D3" s="2" t="s">
        <v>26</v>
      </c>
    </row>
    <row r="4" spans="1:5" x14ac:dyDescent="0.35">
      <c r="A4" s="2" t="s">
        <v>17</v>
      </c>
      <c r="B4" s="2">
        <v>0.1</v>
      </c>
      <c r="C4" s="2">
        <v>0.01</v>
      </c>
      <c r="D4" s="2" t="s">
        <v>26</v>
      </c>
    </row>
    <row r="5" spans="1:5" x14ac:dyDescent="0.35">
      <c r="A5" s="2" t="s">
        <v>18</v>
      </c>
      <c r="B5" s="2">
        <v>1</v>
      </c>
      <c r="C5" s="2">
        <v>1</v>
      </c>
      <c r="D5" s="2" t="s">
        <v>26</v>
      </c>
    </row>
    <row r="6" spans="1:5" x14ac:dyDescent="0.35">
      <c r="A6" s="2" t="s">
        <v>19</v>
      </c>
      <c r="B6" s="2">
        <v>30</v>
      </c>
      <c r="C6" s="2">
        <v>30</v>
      </c>
      <c r="D6" s="2" t="s">
        <v>4</v>
      </c>
    </row>
    <row r="7" spans="1:5" x14ac:dyDescent="0.35">
      <c r="A7" s="2" t="s">
        <v>20</v>
      </c>
      <c r="B7" s="2">
        <v>10</v>
      </c>
      <c r="C7" s="2">
        <v>10</v>
      </c>
      <c r="D7" s="2" t="s">
        <v>5</v>
      </c>
    </row>
    <row r="8" spans="1:5" x14ac:dyDescent="0.35">
      <c r="A8" s="2" t="s">
        <v>21</v>
      </c>
      <c r="B8" s="2">
        <v>20</v>
      </c>
      <c r="C8" s="2">
        <v>20</v>
      </c>
      <c r="D8" s="2" t="s">
        <v>5</v>
      </c>
    </row>
    <row r="9" spans="1:5" x14ac:dyDescent="0.35">
      <c r="A9" s="2" t="s">
        <v>6</v>
      </c>
      <c r="B9" s="2">
        <v>0</v>
      </c>
      <c r="C9" s="2">
        <v>1188</v>
      </c>
      <c r="D9" s="2" t="s">
        <v>7</v>
      </c>
    </row>
    <row r="10" spans="1:5" x14ac:dyDescent="0.35">
      <c r="A10" s="2" t="s">
        <v>22</v>
      </c>
      <c r="B10" s="2">
        <f>15.54/(365*24)</f>
        <v>1.7739726027397259E-3</v>
      </c>
      <c r="C10" s="2">
        <f>15.54/(365*24)</f>
        <v>1.7739726027397259E-3</v>
      </c>
      <c r="D10" s="2" t="s">
        <v>27</v>
      </c>
      <c r="E10" t="s">
        <v>28</v>
      </c>
    </row>
    <row r="11" spans="1:5" x14ac:dyDescent="0.35">
      <c r="A11" s="2" t="s">
        <v>23</v>
      </c>
      <c r="B11" s="2">
        <f>0.04/(365*24)</f>
        <v>4.5662100456621006E-6</v>
      </c>
      <c r="C11" s="2">
        <f>0.04/(365*24)</f>
        <v>4.5662100456621006E-6</v>
      </c>
      <c r="D11" s="2" t="s">
        <v>27</v>
      </c>
      <c r="E11" t="s">
        <v>28</v>
      </c>
    </row>
    <row r="12" spans="1:5" x14ac:dyDescent="0.35">
      <c r="A12" s="2" t="s">
        <v>24</v>
      </c>
      <c r="B12" s="2">
        <v>0</v>
      </c>
      <c r="C12" s="2">
        <v>10</v>
      </c>
      <c r="D12" s="2" t="s">
        <v>9</v>
      </c>
    </row>
    <row r="13" spans="1:5" x14ac:dyDescent="0.35">
      <c r="A13" s="2" t="s">
        <v>25</v>
      </c>
      <c r="B13" s="2">
        <v>0</v>
      </c>
      <c r="C13" s="2">
        <v>35</v>
      </c>
      <c r="D13" s="2" t="s">
        <v>9</v>
      </c>
    </row>
    <row r="14" spans="1:5" x14ac:dyDescent="0.35">
      <c r="A14" s="2" t="s">
        <v>10</v>
      </c>
      <c r="B14" s="2">
        <v>0</v>
      </c>
      <c r="C14" s="2">
        <v>0</v>
      </c>
      <c r="D14" s="2" t="s">
        <v>11</v>
      </c>
    </row>
    <row r="15" spans="1:5" x14ac:dyDescent="0.35">
      <c r="A15" s="2" t="s">
        <v>12</v>
      </c>
      <c r="B15" s="2">
        <v>10.83</v>
      </c>
      <c r="C15" s="2">
        <v>10.83</v>
      </c>
      <c r="D15" s="2" t="s">
        <v>13</v>
      </c>
    </row>
    <row r="16" spans="1:5" x14ac:dyDescent="0.35">
      <c r="A16" s="2" t="s">
        <v>29</v>
      </c>
      <c r="B16" s="2">
        <f>0.4*B2</f>
        <v>1000</v>
      </c>
      <c r="C16" s="2">
        <f>0.05*C2</f>
        <v>125</v>
      </c>
      <c r="D16" s="2" t="s">
        <v>30</v>
      </c>
      <c r="E16" s="4" t="s">
        <v>31</v>
      </c>
    </row>
    <row r="17" spans="1:5" x14ac:dyDescent="0.35">
      <c r="A17" s="3" t="s">
        <v>34</v>
      </c>
      <c r="B17" s="2">
        <f>0.0334*10</f>
        <v>0.33399999999999996</v>
      </c>
      <c r="C17" s="2" t="s">
        <v>50</v>
      </c>
      <c r="D17" s="2" t="s">
        <v>53</v>
      </c>
      <c r="E17" s="2"/>
    </row>
    <row r="18" spans="1:5" x14ac:dyDescent="0.35">
      <c r="A18" s="3" t="s">
        <v>35</v>
      </c>
      <c r="B18" s="2">
        <f>0.0042*10</f>
        <v>4.1999999999999996E-2</v>
      </c>
      <c r="C18" s="2" t="s">
        <v>50</v>
      </c>
      <c r="D18" s="2" t="s">
        <v>53</v>
      </c>
      <c r="E18" s="2"/>
    </row>
    <row r="19" spans="1:5" x14ac:dyDescent="0.35">
      <c r="A19" s="3" t="s">
        <v>36</v>
      </c>
      <c r="B19" s="2">
        <v>0</v>
      </c>
      <c r="C19" s="2" t="s">
        <v>50</v>
      </c>
      <c r="D19" s="2"/>
      <c r="E19" s="2"/>
    </row>
    <row r="20" spans="1:5" x14ac:dyDescent="0.35">
      <c r="A20" s="3" t="s">
        <v>37</v>
      </c>
      <c r="B20" s="2">
        <f>0*B2</f>
        <v>0</v>
      </c>
      <c r="C20" s="2" t="s">
        <v>59</v>
      </c>
      <c r="D20" s="2" t="s">
        <v>56</v>
      </c>
      <c r="E20" s="2"/>
    </row>
    <row r="21" spans="1:5" x14ac:dyDescent="0.35">
      <c r="A21" s="3" t="s">
        <v>38</v>
      </c>
      <c r="B21" s="2">
        <f>0*B2</f>
        <v>0</v>
      </c>
      <c r="C21" s="2" t="s">
        <v>59</v>
      </c>
      <c r="D21" s="2" t="s">
        <v>56</v>
      </c>
      <c r="E21" s="2"/>
    </row>
    <row r="22" spans="1:5" x14ac:dyDescent="0.35">
      <c r="A22" s="3" t="s">
        <v>39</v>
      </c>
      <c r="B22" s="2">
        <f>0*B2</f>
        <v>0</v>
      </c>
      <c r="C22" s="2" t="s">
        <v>59</v>
      </c>
      <c r="D22" s="2" t="s">
        <v>56</v>
      </c>
      <c r="E22" s="2"/>
    </row>
    <row r="23" spans="1:5" x14ac:dyDescent="0.35">
      <c r="A23" s="3" t="s">
        <v>40</v>
      </c>
      <c r="B23" s="5">
        <f>1000*10</f>
        <v>10000</v>
      </c>
      <c r="C23" s="2" t="s">
        <v>59</v>
      </c>
      <c r="D23" s="2"/>
      <c r="E23" s="2" t="s">
        <v>55</v>
      </c>
    </row>
    <row r="24" spans="1:5" x14ac:dyDescent="0.35">
      <c r="A24" s="3" t="s">
        <v>41</v>
      </c>
      <c r="B24" s="5">
        <f>12.5*B2/1000*10</f>
        <v>312.5</v>
      </c>
      <c r="C24" s="2" t="s">
        <v>59</v>
      </c>
      <c r="D24" s="2" t="s">
        <v>56</v>
      </c>
      <c r="E24" s="2"/>
    </row>
    <row r="25" spans="1:5" x14ac:dyDescent="0.35">
      <c r="A25" s="3" t="s">
        <v>42</v>
      </c>
      <c r="B25" s="2">
        <v>0</v>
      </c>
      <c r="C25" s="2" t="s">
        <v>59</v>
      </c>
      <c r="D25" s="2" t="s">
        <v>56</v>
      </c>
      <c r="E25" s="2"/>
    </row>
    <row r="26" spans="1:5" x14ac:dyDescent="0.35">
      <c r="A26" s="3" t="s">
        <v>58</v>
      </c>
      <c r="B26" s="2">
        <v>0</v>
      </c>
      <c r="C26" s="2" t="s">
        <v>14</v>
      </c>
      <c r="D26" s="2"/>
      <c r="E26" s="2"/>
    </row>
    <row r="27" spans="1:5" x14ac:dyDescent="0.35">
      <c r="A27" s="3" t="s">
        <v>43</v>
      </c>
      <c r="B27" s="2">
        <f>0.01*B2</f>
        <v>25</v>
      </c>
      <c r="C27" s="2" t="s">
        <v>14</v>
      </c>
      <c r="D27" s="2"/>
      <c r="E27" s="2"/>
    </row>
    <row r="28" spans="1:5" x14ac:dyDescent="0.35">
      <c r="A28" s="3" t="s">
        <v>44</v>
      </c>
      <c r="B28" s="2">
        <f>0.1*B2</f>
        <v>250</v>
      </c>
      <c r="C28" s="2" t="s">
        <v>14</v>
      </c>
      <c r="D28" s="2"/>
      <c r="E28" s="2"/>
    </row>
    <row r="30" spans="1:5" x14ac:dyDescent="0.35">
      <c r="A30" s="1"/>
      <c r="B30" s="2"/>
      <c r="C30" s="2"/>
      <c r="D30" s="2"/>
      <c r="E30" s="2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14F4-6D5A-4D34-8E2D-D9B4458C1236}">
  <dimension ref="A1:E30"/>
  <sheetViews>
    <sheetView workbookViewId="0">
      <selection activeCell="B5" sqref="B5"/>
    </sheetView>
  </sheetViews>
  <sheetFormatPr defaultRowHeight="14.5" x14ac:dyDescent="0.35"/>
  <cols>
    <col min="1" max="1" width="26.81640625" customWidth="1"/>
    <col min="2" max="4" width="17.6328125" customWidth="1"/>
    <col min="5" max="5" width="42.54296875" customWidth="1"/>
  </cols>
  <sheetData>
    <row r="1" spans="1:5" x14ac:dyDescent="0.35">
      <c r="A1" s="1" t="s">
        <v>0</v>
      </c>
      <c r="B1" s="1" t="s">
        <v>32</v>
      </c>
      <c r="C1" s="1" t="s">
        <v>1</v>
      </c>
      <c r="D1" s="1" t="s">
        <v>2</v>
      </c>
    </row>
    <row r="2" spans="1:5" x14ac:dyDescent="0.35">
      <c r="A2" s="3" t="s">
        <v>15</v>
      </c>
      <c r="B2" s="3">
        <v>2500</v>
      </c>
      <c r="C2" s="3">
        <v>2500</v>
      </c>
      <c r="D2" s="3" t="s">
        <v>14</v>
      </c>
    </row>
    <row r="3" spans="1:5" x14ac:dyDescent="0.35">
      <c r="A3" s="2" t="s">
        <v>16</v>
      </c>
      <c r="B3" s="2">
        <v>0.65</v>
      </c>
      <c r="C3" s="2">
        <v>0.65</v>
      </c>
      <c r="D3" s="2" t="s">
        <v>26</v>
      </c>
    </row>
    <row r="4" spans="1:5" x14ac:dyDescent="0.35">
      <c r="A4" s="2" t="s">
        <v>17</v>
      </c>
      <c r="B4" s="2">
        <v>0.1</v>
      </c>
      <c r="C4" s="2">
        <v>0.01</v>
      </c>
      <c r="D4" s="2" t="s">
        <v>26</v>
      </c>
    </row>
    <row r="5" spans="1:5" x14ac:dyDescent="0.35">
      <c r="A5" s="2" t="s">
        <v>18</v>
      </c>
      <c r="B5" s="2">
        <v>1</v>
      </c>
      <c r="C5" s="2">
        <v>1</v>
      </c>
      <c r="D5" s="2" t="s">
        <v>26</v>
      </c>
    </row>
    <row r="6" spans="1:5" x14ac:dyDescent="0.35">
      <c r="A6" s="2" t="s">
        <v>19</v>
      </c>
      <c r="B6" s="2">
        <v>30</v>
      </c>
      <c r="C6" s="2">
        <v>30</v>
      </c>
      <c r="D6" s="2" t="s">
        <v>4</v>
      </c>
    </row>
    <row r="7" spans="1:5" x14ac:dyDescent="0.35">
      <c r="A7" s="2" t="s">
        <v>20</v>
      </c>
      <c r="B7" s="2">
        <v>10</v>
      </c>
      <c r="C7" s="2">
        <v>10</v>
      </c>
      <c r="D7" s="2" t="s">
        <v>5</v>
      </c>
    </row>
    <row r="8" spans="1:5" x14ac:dyDescent="0.35">
      <c r="A8" s="2" t="s">
        <v>21</v>
      </c>
      <c r="B8" s="2">
        <v>20</v>
      </c>
      <c r="C8" s="2">
        <v>20</v>
      </c>
      <c r="D8" s="2" t="s">
        <v>5</v>
      </c>
    </row>
    <row r="9" spans="1:5" x14ac:dyDescent="0.35">
      <c r="A9" s="2" t="s">
        <v>6</v>
      </c>
      <c r="B9" s="2">
        <v>0</v>
      </c>
      <c r="C9" s="2">
        <v>1188</v>
      </c>
      <c r="D9" s="2" t="s">
        <v>7</v>
      </c>
    </row>
    <row r="10" spans="1:5" x14ac:dyDescent="0.35">
      <c r="A10" s="2" t="s">
        <v>22</v>
      </c>
      <c r="B10" s="2">
        <f>15.54/(365*24)</f>
        <v>1.7739726027397259E-3</v>
      </c>
      <c r="C10" s="2">
        <f>15.54/(365*24)</f>
        <v>1.7739726027397259E-3</v>
      </c>
      <c r="D10" s="2" t="s">
        <v>27</v>
      </c>
      <c r="E10" t="s">
        <v>28</v>
      </c>
    </row>
    <row r="11" spans="1:5" x14ac:dyDescent="0.35">
      <c r="A11" s="2" t="s">
        <v>23</v>
      </c>
      <c r="B11" s="2">
        <f>0.04/(365*24)</f>
        <v>4.5662100456621006E-6</v>
      </c>
      <c r="C11" s="2">
        <f>0.04/(365*24)</f>
        <v>4.5662100456621006E-6</v>
      </c>
      <c r="D11" s="2" t="s">
        <v>27</v>
      </c>
      <c r="E11" t="s">
        <v>28</v>
      </c>
    </row>
    <row r="12" spans="1:5" x14ac:dyDescent="0.35">
      <c r="A12" s="2" t="s">
        <v>24</v>
      </c>
      <c r="B12" s="2">
        <v>0</v>
      </c>
      <c r="C12" s="2">
        <v>10</v>
      </c>
      <c r="D12" s="2" t="s">
        <v>9</v>
      </c>
    </row>
    <row r="13" spans="1:5" x14ac:dyDescent="0.35">
      <c r="A13" s="2" t="s">
        <v>25</v>
      </c>
      <c r="B13" s="2">
        <v>0</v>
      </c>
      <c r="C13" s="2">
        <v>35</v>
      </c>
      <c r="D13" s="2" t="s">
        <v>9</v>
      </c>
    </row>
    <row r="14" spans="1:5" x14ac:dyDescent="0.35">
      <c r="A14" s="2" t="s">
        <v>10</v>
      </c>
      <c r="B14" s="2">
        <v>0</v>
      </c>
      <c r="C14" s="2">
        <v>0</v>
      </c>
      <c r="D14" s="2" t="s">
        <v>11</v>
      </c>
    </row>
    <row r="15" spans="1:5" x14ac:dyDescent="0.35">
      <c r="A15" s="2" t="s">
        <v>12</v>
      </c>
      <c r="B15" s="2">
        <v>10.83</v>
      </c>
      <c r="C15" s="2">
        <v>10.83</v>
      </c>
      <c r="D15" s="2" t="s">
        <v>13</v>
      </c>
    </row>
    <row r="16" spans="1:5" x14ac:dyDescent="0.35">
      <c r="A16" s="2" t="s">
        <v>29</v>
      </c>
      <c r="B16" s="2">
        <f>0.4*B2</f>
        <v>1000</v>
      </c>
      <c r="C16" s="2">
        <f>0.05*C2</f>
        <v>125</v>
      </c>
      <c r="D16" s="2" t="s">
        <v>30</v>
      </c>
      <c r="E16" s="4" t="s">
        <v>31</v>
      </c>
    </row>
    <row r="17" spans="1:5" x14ac:dyDescent="0.35">
      <c r="A17" s="3" t="s">
        <v>34</v>
      </c>
      <c r="B17" s="2">
        <f>0.0334*100</f>
        <v>3.34</v>
      </c>
      <c r="C17" s="2" t="s">
        <v>50</v>
      </c>
      <c r="D17" s="2" t="s">
        <v>53</v>
      </c>
      <c r="E17" s="2"/>
    </row>
    <row r="18" spans="1:5" x14ac:dyDescent="0.35">
      <c r="A18" s="3" t="s">
        <v>35</v>
      </c>
      <c r="B18" s="2">
        <f>0.0042*100</f>
        <v>0.42</v>
      </c>
      <c r="C18" s="2" t="s">
        <v>50</v>
      </c>
      <c r="D18" s="2" t="s">
        <v>53</v>
      </c>
      <c r="E18" s="2"/>
    </row>
    <row r="19" spans="1:5" x14ac:dyDescent="0.35">
      <c r="A19" s="3" t="s">
        <v>36</v>
      </c>
      <c r="B19" s="2">
        <v>0</v>
      </c>
      <c r="C19" s="2" t="s">
        <v>50</v>
      </c>
      <c r="D19" s="2"/>
      <c r="E19" s="2"/>
    </row>
    <row r="20" spans="1:5" x14ac:dyDescent="0.35">
      <c r="A20" s="3" t="s">
        <v>37</v>
      </c>
      <c r="B20" s="2">
        <f>0*B2</f>
        <v>0</v>
      </c>
      <c r="C20" s="2" t="s">
        <v>59</v>
      </c>
      <c r="D20" s="2" t="s">
        <v>56</v>
      </c>
      <c r="E20" s="2"/>
    </row>
    <row r="21" spans="1:5" x14ac:dyDescent="0.35">
      <c r="A21" s="3" t="s">
        <v>38</v>
      </c>
      <c r="B21" s="2">
        <f>0*B2</f>
        <v>0</v>
      </c>
      <c r="C21" s="2" t="s">
        <v>59</v>
      </c>
      <c r="D21" s="2" t="s">
        <v>56</v>
      </c>
      <c r="E21" s="2"/>
    </row>
    <row r="22" spans="1:5" x14ac:dyDescent="0.35">
      <c r="A22" s="3" t="s">
        <v>39</v>
      </c>
      <c r="B22" s="2">
        <f>0*B2</f>
        <v>0</v>
      </c>
      <c r="C22" s="2" t="s">
        <v>59</v>
      </c>
      <c r="D22" s="2" t="s">
        <v>56</v>
      </c>
      <c r="E22" s="2"/>
    </row>
    <row r="23" spans="1:5" x14ac:dyDescent="0.35">
      <c r="A23" s="3" t="s">
        <v>40</v>
      </c>
      <c r="B23" s="5">
        <f>1000*100</f>
        <v>100000</v>
      </c>
      <c r="C23" s="2" t="s">
        <v>59</v>
      </c>
      <c r="D23" s="2"/>
      <c r="E23" s="2" t="s">
        <v>55</v>
      </c>
    </row>
    <row r="24" spans="1:5" x14ac:dyDescent="0.35">
      <c r="A24" s="3" t="s">
        <v>41</v>
      </c>
      <c r="B24" s="5">
        <f>12.5*B2/1000*100</f>
        <v>3125</v>
      </c>
      <c r="C24" s="2" t="s">
        <v>59</v>
      </c>
      <c r="D24" s="2" t="s">
        <v>56</v>
      </c>
      <c r="E24" s="2"/>
    </row>
    <row r="25" spans="1:5" x14ac:dyDescent="0.35">
      <c r="A25" s="3" t="s">
        <v>42</v>
      </c>
      <c r="B25" s="2">
        <v>0</v>
      </c>
      <c r="C25" s="2" t="s">
        <v>59</v>
      </c>
      <c r="D25" s="2" t="s">
        <v>56</v>
      </c>
      <c r="E25" s="2"/>
    </row>
    <row r="26" spans="1:5" x14ac:dyDescent="0.35">
      <c r="A26" s="3" t="s">
        <v>58</v>
      </c>
      <c r="B26" s="2">
        <v>0</v>
      </c>
      <c r="C26" s="2" t="s">
        <v>14</v>
      </c>
      <c r="D26" s="2"/>
      <c r="E26" s="2"/>
    </row>
    <row r="27" spans="1:5" x14ac:dyDescent="0.35">
      <c r="A27" s="3" t="s">
        <v>43</v>
      </c>
      <c r="B27" s="2">
        <f>0.01*B2</f>
        <v>25</v>
      </c>
      <c r="C27" s="2" t="s">
        <v>14</v>
      </c>
      <c r="D27" s="2"/>
      <c r="E27" s="2"/>
    </row>
    <row r="28" spans="1:5" x14ac:dyDescent="0.35">
      <c r="A28" s="3" t="s">
        <v>44</v>
      </c>
      <c r="B28" s="2">
        <f>0.1*B2</f>
        <v>250</v>
      </c>
      <c r="C28" s="2" t="s">
        <v>14</v>
      </c>
      <c r="D28" s="2"/>
      <c r="E28" s="2"/>
    </row>
    <row r="30" spans="1:5" x14ac:dyDescent="0.35">
      <c r="A30" s="1"/>
      <c r="B30" s="2"/>
      <c r="C30" s="2"/>
      <c r="D30" s="2"/>
      <c r="E30" s="2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07D5-AB62-4737-B512-F01861098180}">
  <sheetPr codeName="Sheet6"/>
  <dimension ref="A1:E30"/>
  <sheetViews>
    <sheetView topLeftCell="A7" workbookViewId="0">
      <selection activeCell="C25" sqref="C25"/>
    </sheetView>
  </sheetViews>
  <sheetFormatPr defaultRowHeight="14.5" x14ac:dyDescent="0.35"/>
  <cols>
    <col min="1" max="1" width="26.81640625" customWidth="1"/>
    <col min="2" max="4" width="17.6328125" customWidth="1"/>
    <col min="5" max="5" width="42.54296875" customWidth="1"/>
  </cols>
  <sheetData>
    <row r="1" spans="1:5" x14ac:dyDescent="0.35">
      <c r="A1" s="1" t="s">
        <v>0</v>
      </c>
      <c r="B1" s="1" t="s">
        <v>32</v>
      </c>
      <c r="C1" s="1" t="s">
        <v>1</v>
      </c>
      <c r="D1" s="1" t="s">
        <v>2</v>
      </c>
    </row>
    <row r="2" spans="1:5" x14ac:dyDescent="0.35">
      <c r="A2" s="3" t="s">
        <v>15</v>
      </c>
      <c r="B2" s="3">
        <v>2500</v>
      </c>
      <c r="C2" s="3">
        <v>2500</v>
      </c>
      <c r="D2" s="3" t="s">
        <v>14</v>
      </c>
    </row>
    <row r="3" spans="1:5" x14ac:dyDescent="0.35">
      <c r="A3" s="2" t="s">
        <v>16</v>
      </c>
      <c r="B3" s="2">
        <v>0.65</v>
      </c>
      <c r="C3" s="2">
        <v>0.65</v>
      </c>
      <c r="D3" s="2" t="s">
        <v>26</v>
      </c>
    </row>
    <row r="4" spans="1:5" x14ac:dyDescent="0.35">
      <c r="A4" s="2" t="s">
        <v>17</v>
      </c>
      <c r="B4" s="2">
        <v>0.01</v>
      </c>
      <c r="C4" s="2">
        <v>0.01</v>
      </c>
      <c r="D4" s="2" t="s">
        <v>26</v>
      </c>
    </row>
    <row r="5" spans="1:5" x14ac:dyDescent="0.35">
      <c r="A5" s="2" t="s">
        <v>18</v>
      </c>
      <c r="B5" s="2">
        <v>1</v>
      </c>
      <c r="C5" s="2">
        <v>1</v>
      </c>
      <c r="D5" s="2" t="s">
        <v>26</v>
      </c>
    </row>
    <row r="6" spans="1:5" x14ac:dyDescent="0.35">
      <c r="A6" s="2" t="s">
        <v>19</v>
      </c>
      <c r="B6" s="2">
        <v>30</v>
      </c>
      <c r="C6" s="2">
        <v>30</v>
      </c>
      <c r="D6" s="2" t="s">
        <v>4</v>
      </c>
    </row>
    <row r="7" spans="1:5" x14ac:dyDescent="0.35">
      <c r="A7" s="2" t="s">
        <v>20</v>
      </c>
      <c r="B7" s="2">
        <v>10</v>
      </c>
      <c r="C7" s="2">
        <v>10</v>
      </c>
      <c r="D7" s="2" t="s">
        <v>5</v>
      </c>
    </row>
    <row r="8" spans="1:5" x14ac:dyDescent="0.35">
      <c r="A8" s="2" t="s">
        <v>21</v>
      </c>
      <c r="B8" s="2">
        <v>20</v>
      </c>
      <c r="C8" s="2">
        <v>20</v>
      </c>
      <c r="D8" s="2" t="s">
        <v>5</v>
      </c>
    </row>
    <row r="9" spans="1:5" x14ac:dyDescent="0.35">
      <c r="A9" s="2" t="s">
        <v>6</v>
      </c>
      <c r="B9" s="2">
        <v>0</v>
      </c>
      <c r="C9" s="2">
        <v>1188</v>
      </c>
      <c r="D9" s="2" t="s">
        <v>7</v>
      </c>
    </row>
    <row r="10" spans="1:5" x14ac:dyDescent="0.35">
      <c r="A10" s="2" t="s">
        <v>22</v>
      </c>
      <c r="B10" s="2">
        <f>15.54/(365*24)</f>
        <v>1.7739726027397259E-3</v>
      </c>
      <c r="C10" s="2">
        <f>15.54/(365*24)</f>
        <v>1.7739726027397259E-3</v>
      </c>
      <c r="D10" s="2" t="s">
        <v>27</v>
      </c>
      <c r="E10" t="s">
        <v>28</v>
      </c>
    </row>
    <row r="11" spans="1:5" x14ac:dyDescent="0.35">
      <c r="A11" s="2" t="s">
        <v>23</v>
      </c>
      <c r="B11" s="2">
        <f>0.04/(365*24)</f>
        <v>4.5662100456621006E-6</v>
      </c>
      <c r="C11" s="2">
        <f>0.04/(365*24)</f>
        <v>4.5662100456621006E-6</v>
      </c>
      <c r="D11" s="2" t="s">
        <v>27</v>
      </c>
      <c r="E11" t="s">
        <v>28</v>
      </c>
    </row>
    <row r="12" spans="1:5" x14ac:dyDescent="0.35">
      <c r="A12" s="2" t="s">
        <v>24</v>
      </c>
      <c r="B12" s="2">
        <v>0</v>
      </c>
      <c r="C12" s="2">
        <v>10</v>
      </c>
      <c r="D12" s="2" t="s">
        <v>9</v>
      </c>
    </row>
    <row r="13" spans="1:5" x14ac:dyDescent="0.35">
      <c r="A13" s="2" t="s">
        <v>25</v>
      </c>
      <c r="B13" s="2">
        <v>0</v>
      </c>
      <c r="C13" s="2">
        <v>35</v>
      </c>
      <c r="D13" s="2" t="s">
        <v>9</v>
      </c>
    </row>
    <row r="14" spans="1:5" x14ac:dyDescent="0.35">
      <c r="A14" s="2" t="s">
        <v>10</v>
      </c>
      <c r="B14" s="2">
        <v>0</v>
      </c>
      <c r="C14" s="2">
        <v>0</v>
      </c>
      <c r="D14" s="2" t="s">
        <v>11</v>
      </c>
    </row>
    <row r="15" spans="1:5" x14ac:dyDescent="0.35">
      <c r="A15" s="2" t="s">
        <v>12</v>
      </c>
      <c r="B15" s="2">
        <v>10.83</v>
      </c>
      <c r="C15" s="2">
        <v>10.83</v>
      </c>
      <c r="D15" s="2" t="s">
        <v>13</v>
      </c>
    </row>
    <row r="16" spans="1:5" x14ac:dyDescent="0.35">
      <c r="A16" s="2" t="s">
        <v>29</v>
      </c>
      <c r="B16" s="2">
        <f>0.4*B2</f>
        <v>1000</v>
      </c>
      <c r="C16" s="2">
        <f>0.05*C2</f>
        <v>125</v>
      </c>
      <c r="D16" s="2" t="s">
        <v>30</v>
      </c>
      <c r="E16" s="4" t="s">
        <v>31</v>
      </c>
    </row>
    <row r="17" spans="1:5" x14ac:dyDescent="0.35">
      <c r="A17" s="6" t="s">
        <v>34</v>
      </c>
      <c r="B17" s="7">
        <v>3.3399999999999999E-2</v>
      </c>
      <c r="C17" s="7" t="s">
        <v>50</v>
      </c>
      <c r="D17" s="7" t="s">
        <v>53</v>
      </c>
      <c r="E17" s="7"/>
    </row>
    <row r="18" spans="1:5" x14ac:dyDescent="0.35">
      <c r="A18" s="6" t="s">
        <v>35</v>
      </c>
      <c r="B18" s="7">
        <v>4.1999999999999997E-3</v>
      </c>
      <c r="C18" s="7" t="s">
        <v>50</v>
      </c>
      <c r="D18" s="7" t="s">
        <v>53</v>
      </c>
      <c r="E18" s="7"/>
    </row>
    <row r="19" spans="1:5" x14ac:dyDescent="0.35">
      <c r="A19" s="6" t="s">
        <v>36</v>
      </c>
      <c r="B19" s="7">
        <v>0</v>
      </c>
      <c r="C19" s="7" t="s">
        <v>50</v>
      </c>
      <c r="D19" s="7"/>
      <c r="E19" s="7"/>
    </row>
    <row r="20" spans="1:5" x14ac:dyDescent="0.35">
      <c r="A20" s="8" t="s">
        <v>37</v>
      </c>
      <c r="B20" s="9">
        <v>0</v>
      </c>
      <c r="C20" s="9" t="s">
        <v>54</v>
      </c>
      <c r="D20" s="9" t="s">
        <v>56</v>
      </c>
      <c r="E20" s="9"/>
    </row>
    <row r="21" spans="1:5" x14ac:dyDescent="0.35">
      <c r="A21" s="8" t="s">
        <v>38</v>
      </c>
      <c r="B21" s="9">
        <v>0</v>
      </c>
      <c r="C21" s="9" t="s">
        <v>54</v>
      </c>
      <c r="D21" s="9" t="s">
        <v>56</v>
      </c>
      <c r="E21" s="9"/>
    </row>
    <row r="22" spans="1:5" x14ac:dyDescent="0.35">
      <c r="A22" s="10" t="s">
        <v>39</v>
      </c>
      <c r="B22" s="15">
        <v>12.5</v>
      </c>
      <c r="C22" s="11" t="s">
        <v>54</v>
      </c>
      <c r="D22" s="11"/>
      <c r="E22" s="11"/>
    </row>
    <row r="23" spans="1:5" x14ac:dyDescent="0.35">
      <c r="A23" s="10" t="s">
        <v>40</v>
      </c>
      <c r="B23" s="15">
        <v>12.5</v>
      </c>
      <c r="C23" s="11" t="s">
        <v>54</v>
      </c>
      <c r="D23" s="11"/>
      <c r="E23" s="11" t="s">
        <v>55</v>
      </c>
    </row>
    <row r="24" spans="1:5" x14ac:dyDescent="0.35">
      <c r="A24" s="12" t="s">
        <v>41</v>
      </c>
      <c r="B24" s="14">
        <v>1000</v>
      </c>
      <c r="C24" s="13" t="s">
        <v>54</v>
      </c>
      <c r="D24" s="13"/>
      <c r="E24" s="13"/>
    </row>
    <row r="25" spans="1:5" x14ac:dyDescent="0.35">
      <c r="A25" s="12" t="s">
        <v>42</v>
      </c>
      <c r="B25" s="14">
        <v>1000</v>
      </c>
      <c r="C25" s="13" t="s">
        <v>54</v>
      </c>
      <c r="D25" s="13"/>
      <c r="E25" s="13"/>
    </row>
    <row r="26" spans="1:5" x14ac:dyDescent="0.35">
      <c r="A26" s="3" t="s">
        <v>58</v>
      </c>
      <c r="B26" s="2">
        <v>0</v>
      </c>
      <c r="C26" s="2" t="s">
        <v>14</v>
      </c>
      <c r="D26" s="2"/>
      <c r="E26" s="2"/>
    </row>
    <row r="27" spans="1:5" x14ac:dyDescent="0.35">
      <c r="A27" s="3" t="s">
        <v>43</v>
      </c>
      <c r="B27" s="2">
        <f>0.01*B2</f>
        <v>25</v>
      </c>
      <c r="C27" s="2" t="s">
        <v>14</v>
      </c>
      <c r="D27" s="2"/>
      <c r="E27" s="2"/>
    </row>
    <row r="28" spans="1:5" x14ac:dyDescent="0.35">
      <c r="A28" s="3" t="s">
        <v>44</v>
      </c>
      <c r="B28" s="2">
        <f>0.1*B2</f>
        <v>250</v>
      </c>
      <c r="C28" s="2" t="s">
        <v>14</v>
      </c>
      <c r="D28" s="2"/>
      <c r="E28" s="2"/>
    </row>
    <row r="30" spans="1:5" x14ac:dyDescent="0.35">
      <c r="A30" s="1"/>
      <c r="B30" s="2"/>
      <c r="C30" s="2"/>
      <c r="D30" s="2"/>
      <c r="E30" s="2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548A-85A5-4898-87A5-F1AB774A7AA2}">
  <sheetPr codeName="Sheet2"/>
  <dimension ref="A1:C15"/>
  <sheetViews>
    <sheetView workbookViewId="0">
      <selection activeCell="B4" sqref="B4"/>
    </sheetView>
  </sheetViews>
  <sheetFormatPr defaultRowHeight="14.5" x14ac:dyDescent="0.35"/>
  <cols>
    <col min="1" max="1" width="26.81640625" customWidth="1"/>
    <col min="2" max="3" width="17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15</v>
      </c>
      <c r="B2" s="3">
        <v>1000</v>
      </c>
      <c r="C2" s="3" t="s">
        <v>14</v>
      </c>
    </row>
    <row r="3" spans="1:3" x14ac:dyDescent="0.35">
      <c r="A3" s="2" t="s">
        <v>16</v>
      </c>
      <c r="B3" s="2">
        <v>85</v>
      </c>
      <c r="C3" s="2" t="s">
        <v>3</v>
      </c>
    </row>
    <row r="4" spans="1:3" x14ac:dyDescent="0.35">
      <c r="A4" s="2" t="s">
        <v>17</v>
      </c>
      <c r="B4" s="2">
        <v>10</v>
      </c>
      <c r="C4" s="2" t="s">
        <v>3</v>
      </c>
    </row>
    <row r="5" spans="1:3" x14ac:dyDescent="0.35">
      <c r="A5" s="2" t="s">
        <v>18</v>
      </c>
      <c r="B5" s="2">
        <v>100</v>
      </c>
      <c r="C5" s="2" t="s">
        <v>3</v>
      </c>
    </row>
    <row r="6" spans="1:3" x14ac:dyDescent="0.35">
      <c r="A6" s="2" t="s">
        <v>19</v>
      </c>
      <c r="B6" s="2">
        <v>30</v>
      </c>
      <c r="C6" s="2" t="s">
        <v>4</v>
      </c>
    </row>
    <row r="7" spans="1:3" x14ac:dyDescent="0.35">
      <c r="A7" s="2" t="s">
        <v>20</v>
      </c>
      <c r="B7" s="2">
        <v>10</v>
      </c>
      <c r="C7" s="2" t="s">
        <v>5</v>
      </c>
    </row>
    <row r="8" spans="1:3" x14ac:dyDescent="0.35">
      <c r="A8" s="2" t="s">
        <v>21</v>
      </c>
      <c r="B8" s="2">
        <v>20</v>
      </c>
      <c r="C8" s="2" t="s">
        <v>5</v>
      </c>
    </row>
    <row r="9" spans="1:3" x14ac:dyDescent="0.35">
      <c r="A9" s="2" t="s">
        <v>6</v>
      </c>
      <c r="B9" s="2">
        <v>1188</v>
      </c>
      <c r="C9" s="2" t="s">
        <v>7</v>
      </c>
    </row>
    <row r="10" spans="1:3" x14ac:dyDescent="0.35">
      <c r="A10" s="2" t="s">
        <v>22</v>
      </c>
      <c r="B10" s="2">
        <v>15.54</v>
      </c>
      <c r="C10" s="2" t="s">
        <v>8</v>
      </c>
    </row>
    <row r="11" spans="1:3" x14ac:dyDescent="0.35">
      <c r="A11" s="2" t="s">
        <v>23</v>
      </c>
      <c r="B11" s="2">
        <v>0.04</v>
      </c>
      <c r="C11" s="2" t="s">
        <v>8</v>
      </c>
    </row>
    <row r="12" spans="1:3" x14ac:dyDescent="0.35">
      <c r="A12" s="2" t="s">
        <v>24</v>
      </c>
      <c r="B12" s="2">
        <v>10</v>
      </c>
      <c r="C12" s="2" t="s">
        <v>9</v>
      </c>
    </row>
    <row r="13" spans="1:3" x14ac:dyDescent="0.35">
      <c r="A13" s="2" t="s">
        <v>25</v>
      </c>
      <c r="B13" s="2">
        <v>35</v>
      </c>
      <c r="C13" s="2" t="s">
        <v>9</v>
      </c>
    </row>
    <row r="14" spans="1:3" x14ac:dyDescent="0.35">
      <c r="A14" s="2" t="s">
        <v>10</v>
      </c>
      <c r="B14" s="2">
        <v>0</v>
      </c>
      <c r="C14" s="2" t="s">
        <v>11</v>
      </c>
    </row>
    <row r="15" spans="1:3" x14ac:dyDescent="0.35">
      <c r="A15" s="2" t="s">
        <v>12</v>
      </c>
      <c r="B15" s="2">
        <v>10.83</v>
      </c>
      <c r="C15" s="2" t="s">
        <v>13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1011-56E0-4835-AD53-0E3A7B723D13}">
  <sheetPr codeName="Sheet3"/>
  <dimension ref="A1:C15"/>
  <sheetViews>
    <sheetView workbookViewId="0">
      <selection activeCell="A14" sqref="A14"/>
    </sheetView>
  </sheetViews>
  <sheetFormatPr defaultRowHeight="14.5" x14ac:dyDescent="0.35"/>
  <cols>
    <col min="1" max="1" width="26.81640625" customWidth="1"/>
    <col min="2" max="3" width="17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15</v>
      </c>
      <c r="B2" s="3">
        <v>1000</v>
      </c>
      <c r="C2" s="3" t="s">
        <v>14</v>
      </c>
    </row>
    <row r="3" spans="1:3" x14ac:dyDescent="0.35">
      <c r="A3" s="2" t="s">
        <v>16</v>
      </c>
      <c r="B3" s="2">
        <v>65</v>
      </c>
      <c r="C3" s="2" t="s">
        <v>3</v>
      </c>
    </row>
    <row r="4" spans="1:3" x14ac:dyDescent="0.35">
      <c r="A4" s="2" t="s">
        <v>17</v>
      </c>
      <c r="B4" s="2">
        <v>10</v>
      </c>
      <c r="C4" s="2" t="s">
        <v>3</v>
      </c>
    </row>
    <row r="5" spans="1:3" x14ac:dyDescent="0.35">
      <c r="A5" s="2" t="s">
        <v>18</v>
      </c>
      <c r="B5" s="2">
        <v>100</v>
      </c>
      <c r="C5" s="2" t="s">
        <v>3</v>
      </c>
    </row>
    <row r="6" spans="1:3" x14ac:dyDescent="0.35">
      <c r="A6" s="2" t="s">
        <v>19</v>
      </c>
      <c r="B6" s="2">
        <v>30</v>
      </c>
      <c r="C6" s="2" t="s">
        <v>4</v>
      </c>
    </row>
    <row r="7" spans="1:3" x14ac:dyDescent="0.35">
      <c r="A7" s="2" t="s">
        <v>20</v>
      </c>
      <c r="B7" s="2">
        <v>10</v>
      </c>
      <c r="C7" s="2" t="s">
        <v>5</v>
      </c>
    </row>
    <row r="8" spans="1:3" x14ac:dyDescent="0.35">
      <c r="A8" s="2" t="s">
        <v>21</v>
      </c>
      <c r="B8" s="2">
        <v>20</v>
      </c>
      <c r="C8" s="2" t="s">
        <v>5</v>
      </c>
    </row>
    <row r="9" spans="1:3" x14ac:dyDescent="0.35">
      <c r="A9" s="2" t="s">
        <v>6</v>
      </c>
      <c r="B9" s="2">
        <v>1188</v>
      </c>
      <c r="C9" s="2" t="s">
        <v>7</v>
      </c>
    </row>
    <row r="10" spans="1:3" x14ac:dyDescent="0.35">
      <c r="A10" s="2" t="s">
        <v>22</v>
      </c>
      <c r="B10" s="2">
        <v>15.54</v>
      </c>
      <c r="C10" s="2" t="s">
        <v>8</v>
      </c>
    </row>
    <row r="11" spans="1:3" x14ac:dyDescent="0.35">
      <c r="A11" s="2" t="s">
        <v>23</v>
      </c>
      <c r="B11" s="2">
        <v>0.04</v>
      </c>
      <c r="C11" s="2" t="s">
        <v>8</v>
      </c>
    </row>
    <row r="12" spans="1:3" x14ac:dyDescent="0.35">
      <c r="A12" s="2" t="s">
        <v>24</v>
      </c>
      <c r="B12" s="2">
        <v>10</v>
      </c>
      <c r="C12" s="2" t="s">
        <v>9</v>
      </c>
    </row>
    <row r="13" spans="1:3" x14ac:dyDescent="0.35">
      <c r="A13" s="2" t="s">
        <v>25</v>
      </c>
      <c r="B13" s="2">
        <v>35</v>
      </c>
      <c r="C13" s="2" t="s">
        <v>9</v>
      </c>
    </row>
    <row r="14" spans="1:3" x14ac:dyDescent="0.35">
      <c r="A14" s="2" t="s">
        <v>10</v>
      </c>
      <c r="B14" s="2">
        <v>0</v>
      </c>
      <c r="C14" s="2" t="s">
        <v>11</v>
      </c>
    </row>
    <row r="15" spans="1:3" x14ac:dyDescent="0.35">
      <c r="A15" s="2" t="s">
        <v>12</v>
      </c>
      <c r="B15" s="2">
        <v>10.83</v>
      </c>
      <c r="C15" s="2" t="s">
        <v>13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96C1-36E5-4636-AFB1-D48BFB1B2183}">
  <sheetPr codeName="Sheet4"/>
  <dimension ref="A1:E15"/>
  <sheetViews>
    <sheetView workbookViewId="0">
      <selection sqref="A1:E15"/>
    </sheetView>
  </sheetViews>
  <sheetFormatPr defaultRowHeight="14.5" x14ac:dyDescent="0.35"/>
  <cols>
    <col min="1" max="1" width="17.453125" customWidth="1"/>
    <col min="2" max="2" width="15" customWidth="1"/>
    <col min="3" max="3" width="17.453125" customWidth="1"/>
    <col min="5" max="5" width="52.90625" customWidth="1"/>
  </cols>
  <sheetData>
    <row r="1" spans="1:5" x14ac:dyDescent="0.35">
      <c r="A1" s="1"/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35">
      <c r="A2" s="1" t="s">
        <v>33</v>
      </c>
      <c r="B2" s="2">
        <f>PEM!B2</f>
        <v>2500</v>
      </c>
      <c r="C2" s="2" t="s">
        <v>51</v>
      </c>
      <c r="D2" s="2"/>
      <c r="E2" s="2" t="s">
        <v>52</v>
      </c>
    </row>
    <row r="3" spans="1:5" x14ac:dyDescent="0.35">
      <c r="A3" s="1" t="s">
        <v>34</v>
      </c>
      <c r="B3" s="2">
        <v>3.3399999999999999E-2</v>
      </c>
      <c r="C3" s="2" t="s">
        <v>50</v>
      </c>
      <c r="D3" s="2" t="s">
        <v>53</v>
      </c>
      <c r="E3" s="2"/>
    </row>
    <row r="4" spans="1:5" x14ac:dyDescent="0.35">
      <c r="A4" s="1" t="s">
        <v>35</v>
      </c>
      <c r="B4" s="2">
        <v>4.2000000000000003E-2</v>
      </c>
      <c r="C4" s="2" t="s">
        <v>50</v>
      </c>
      <c r="D4" s="2" t="s">
        <v>53</v>
      </c>
      <c r="E4" s="2"/>
    </row>
    <row r="5" spans="1:5" x14ac:dyDescent="0.35">
      <c r="A5" s="1" t="s">
        <v>36</v>
      </c>
      <c r="B5" s="2"/>
      <c r="C5" s="2"/>
      <c r="D5" s="2"/>
      <c r="E5" s="2"/>
    </row>
    <row r="6" spans="1:5" x14ac:dyDescent="0.35">
      <c r="A6" s="1" t="s">
        <v>37</v>
      </c>
      <c r="B6" s="2">
        <v>0</v>
      </c>
      <c r="C6" s="2" t="s">
        <v>54</v>
      </c>
      <c r="D6" s="2" t="s">
        <v>56</v>
      </c>
      <c r="E6" s="2"/>
    </row>
    <row r="7" spans="1:5" x14ac:dyDescent="0.35">
      <c r="A7" s="1" t="s">
        <v>38</v>
      </c>
      <c r="B7" s="2">
        <v>0</v>
      </c>
      <c r="C7" s="2" t="s">
        <v>54</v>
      </c>
      <c r="D7" s="2" t="s">
        <v>56</v>
      </c>
      <c r="E7" s="2"/>
    </row>
    <row r="8" spans="1:5" x14ac:dyDescent="0.35">
      <c r="A8" s="1" t="s">
        <v>39</v>
      </c>
      <c r="B8" s="2">
        <v>0</v>
      </c>
      <c r="C8" s="2" t="s">
        <v>54</v>
      </c>
      <c r="D8" s="2" t="s">
        <v>56</v>
      </c>
      <c r="E8" s="2"/>
    </row>
    <row r="9" spans="1:5" x14ac:dyDescent="0.35">
      <c r="A9" s="1" t="s">
        <v>40</v>
      </c>
      <c r="B9" s="5">
        <v>1000</v>
      </c>
      <c r="C9" s="2" t="s">
        <v>54</v>
      </c>
      <c r="D9" s="2"/>
      <c r="E9" s="2" t="s">
        <v>55</v>
      </c>
    </row>
    <row r="10" spans="1:5" x14ac:dyDescent="0.35">
      <c r="A10" s="1" t="s">
        <v>41</v>
      </c>
      <c r="B10" s="5">
        <v>12.5</v>
      </c>
      <c r="C10" s="2" t="s">
        <v>54</v>
      </c>
      <c r="D10" s="2" t="s">
        <v>56</v>
      </c>
      <c r="E10" s="2"/>
    </row>
    <row r="11" spans="1:5" x14ac:dyDescent="0.35">
      <c r="A11" s="1" t="s">
        <v>42</v>
      </c>
      <c r="B11" s="2">
        <v>0</v>
      </c>
      <c r="C11" s="2" t="s">
        <v>54</v>
      </c>
      <c r="D11" s="2" t="s">
        <v>56</v>
      </c>
      <c r="E11" s="2"/>
    </row>
    <row r="12" spans="1:5" x14ac:dyDescent="0.35">
      <c r="A12" s="1" t="s">
        <v>16</v>
      </c>
      <c r="B12" s="2">
        <f>PEM!B3</f>
        <v>0.65</v>
      </c>
      <c r="C12" s="2"/>
      <c r="D12" s="2"/>
      <c r="E12" s="2"/>
    </row>
    <row r="13" spans="1:5" x14ac:dyDescent="0.35">
      <c r="A13" s="1" t="s">
        <v>43</v>
      </c>
      <c r="B13" s="2">
        <v>3.5000000000000003E-2</v>
      </c>
      <c r="C13" s="2" t="s">
        <v>57</v>
      </c>
      <c r="D13" s="2"/>
      <c r="E13" s="2"/>
    </row>
    <row r="14" spans="1:5" x14ac:dyDescent="0.35">
      <c r="A14" s="1" t="s">
        <v>44</v>
      </c>
      <c r="B14" s="2">
        <v>0.1</v>
      </c>
      <c r="C14" s="2" t="s">
        <v>57</v>
      </c>
      <c r="D14" s="2"/>
      <c r="E14" s="2"/>
    </row>
    <row r="15" spans="1:5" x14ac:dyDescent="0.35">
      <c r="A15" s="1" t="s">
        <v>45</v>
      </c>
      <c r="B15" s="2">
        <f>PEM!B16</f>
        <v>1000</v>
      </c>
      <c r="C15" s="2" t="s">
        <v>30</v>
      </c>
      <c r="D15" s="2"/>
      <c r="E15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PEM_0</vt:lpstr>
      <vt:lpstr>PEM</vt:lpstr>
      <vt:lpstr>PEM_alt</vt:lpstr>
      <vt:lpstr>PEM_10</vt:lpstr>
      <vt:lpstr>PEM_100</vt:lpstr>
      <vt:lpstr>PEM_A</vt:lpstr>
      <vt:lpstr>SOEC</vt:lpstr>
      <vt:lpstr>AEM</vt:lpstr>
      <vt:lpstr>multistage model PEM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created xsi:type="dcterms:W3CDTF">2015-06-05T18:17:20Z</dcterms:created>
  <dcterms:modified xsi:type="dcterms:W3CDTF">2025-12-11T16:50:17Z</dcterms:modified>
</cp:coreProperties>
</file>