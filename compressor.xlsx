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08E0C5D7-EC92-4D47-BA78-F1E6477ABB97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COMP1" sheetId="1" r:id="rId1"/>
    <sheet name="COMP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7" i="3" l="1"/>
  <c r="B4" i="3"/>
  <c r="B3" i="3"/>
  <c r="C4" i="3" l="1"/>
  <c r="C7" i="3" l="1"/>
  <c r="C6" i="3"/>
  <c r="C3" i="3"/>
  <c r="B4" i="1" l="1"/>
  <c r="B7" i="1"/>
</calcChain>
</file>

<file path=xl/sharedStrings.xml><?xml version="1.0" encoding="utf-8"?>
<sst xmlns="http://schemas.openxmlformats.org/spreadsheetml/2006/main" count="54" uniqueCount="30">
  <si>
    <t>Parameters</t>
  </si>
  <si>
    <t>value</t>
  </si>
  <si>
    <t>unit</t>
  </si>
  <si>
    <t>-</t>
  </si>
  <si>
    <t>yr</t>
  </si>
  <si>
    <t>CAPEX</t>
  </si>
  <si>
    <t>€/kWel</t>
  </si>
  <si>
    <t>€/kWel/annual</t>
  </si>
  <si>
    <t>installation_cost</t>
  </si>
  <si>
    <t>%CAPEX</t>
  </si>
  <si>
    <t>replacement_cost</t>
  </si>
  <si>
    <t>LCOE</t>
  </si>
  <si>
    <t>€/kWh</t>
  </si>
  <si>
    <t>LCOH</t>
  </si>
  <si>
    <t>€/kg</t>
  </si>
  <si>
    <t>lifetime</t>
  </si>
  <si>
    <t>OPEX</t>
  </si>
  <si>
    <t>rated_power_kW</t>
  </si>
  <si>
    <t>kW</t>
  </si>
  <si>
    <t>compressor_work</t>
  </si>
  <si>
    <t>pressure_ratio</t>
  </si>
  <si>
    <t>supposilty</t>
  </si>
  <si>
    <t>€/kW</t>
  </si>
  <si>
    <t>Marocco Gandiglio</t>
  </si>
  <si>
    <t>=[kJ/kg]*[kWh/kJ]</t>
  </si>
  <si>
    <t>kWh/kgH2</t>
  </si>
  <si>
    <t>€/kW/h</t>
  </si>
  <si>
    <t>€/kWel/h</t>
  </si>
  <si>
    <t>con costo per ora</t>
  </si>
  <si>
    <t>value IN THE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</si>
</sst>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3" sqref="B3"/>
    </sheetView>
  </sheetViews>
  <sheetFormatPr defaultRowHeight="14.5" x14ac:dyDescent="0.35"/>
  <cols>
    <col min="1" max="1" width="26.6328125" customWidth="1"/>
    <col min="2" max="2" width="17.7265625" customWidth="1"/>
    <col min="3" max="3" width="17.6328125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s="2" t="s">
        <v>17</v>
      </c>
      <c r="B2" s="2">
        <v>298</v>
      </c>
      <c r="C2" s="2" t="s">
        <v>18</v>
      </c>
      <c r="D2" t="s">
        <v>23</v>
      </c>
    </row>
    <row r="3" spans="1:4" x14ac:dyDescent="0.35">
      <c r="A3" s="2" t="s">
        <v>19</v>
      </c>
      <c r="B3" s="2">
        <f>4000/3600</f>
        <v>1.1111111111111112</v>
      </c>
      <c r="C3" s="2" t="s">
        <v>25</v>
      </c>
      <c r="D3" s="4" t="s">
        <v>24</v>
      </c>
    </row>
    <row r="4" spans="1:4" x14ac:dyDescent="0.35">
      <c r="A4" s="3" t="s">
        <v>20</v>
      </c>
      <c r="B4" s="3">
        <f>200/30</f>
        <v>6.666666666666667</v>
      </c>
      <c r="C4" s="3" t="s">
        <v>3</v>
      </c>
    </row>
    <row r="5" spans="1:4" x14ac:dyDescent="0.35">
      <c r="A5" s="3" t="s">
        <v>15</v>
      </c>
      <c r="B5" s="3">
        <v>20</v>
      </c>
      <c r="C5" s="3" t="s">
        <v>4</v>
      </c>
      <c r="D5" t="s">
        <v>21</v>
      </c>
    </row>
    <row r="6" spans="1:4" x14ac:dyDescent="0.35">
      <c r="A6" s="3" t="s">
        <v>5</v>
      </c>
      <c r="B6" s="3">
        <v>1600</v>
      </c>
      <c r="C6" s="3" t="s">
        <v>22</v>
      </c>
    </row>
    <row r="7" spans="1:4" x14ac:dyDescent="0.35">
      <c r="A7" s="3" t="s">
        <v>16</v>
      </c>
      <c r="B7" s="3">
        <f>B6*0.2</f>
        <v>320</v>
      </c>
      <c r="C7" s="3" t="s">
        <v>7</v>
      </c>
    </row>
    <row r="8" spans="1:4" x14ac:dyDescent="0.35">
      <c r="A8" s="3" t="s">
        <v>8</v>
      </c>
      <c r="B8" s="3">
        <v>0</v>
      </c>
      <c r="C8" s="3" t="s">
        <v>6</v>
      </c>
    </row>
    <row r="9" spans="1:4" x14ac:dyDescent="0.35">
      <c r="A9" s="3" t="s">
        <v>10</v>
      </c>
      <c r="B9" s="3">
        <v>0</v>
      </c>
      <c r="C9" s="3" t="s">
        <v>9</v>
      </c>
    </row>
    <row r="10" spans="1:4" x14ac:dyDescent="0.35">
      <c r="A10" s="3" t="s">
        <v>11</v>
      </c>
      <c r="B10" s="3">
        <v>0</v>
      </c>
      <c r="C10" s="3" t="s">
        <v>12</v>
      </c>
    </row>
    <row r="11" spans="1:4" x14ac:dyDescent="0.35">
      <c r="A11" s="3" t="s">
        <v>13</v>
      </c>
      <c r="B11" s="3">
        <v>0</v>
      </c>
      <c r="C11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3605-0338-4472-B1E8-4C07A3EF130F}">
  <dimension ref="A1:E11"/>
  <sheetViews>
    <sheetView tabSelected="1" workbookViewId="0">
      <selection activeCell="B1" sqref="B1"/>
    </sheetView>
  </sheetViews>
  <sheetFormatPr defaultRowHeight="14.5" x14ac:dyDescent="0.35"/>
  <cols>
    <col min="1" max="1" width="26.6328125" customWidth="1"/>
    <col min="2" max="3" width="17.7265625" customWidth="1"/>
    <col min="4" max="4" width="17.6328125" customWidth="1"/>
  </cols>
  <sheetData>
    <row r="1" spans="1:5" x14ac:dyDescent="0.35">
      <c r="A1" s="1" t="s">
        <v>0</v>
      </c>
      <c r="B1" s="1" t="s">
        <v>29</v>
      </c>
      <c r="C1" s="1" t="s">
        <v>1</v>
      </c>
      <c r="D1" s="1" t="s">
        <v>2</v>
      </c>
    </row>
    <row r="2" spans="1:5" x14ac:dyDescent="0.35">
      <c r="A2" s="2" t="s">
        <v>17</v>
      </c>
      <c r="B2" s="2">
        <v>298</v>
      </c>
      <c r="C2" s="2">
        <v>298</v>
      </c>
      <c r="D2" s="2" t="s">
        <v>18</v>
      </c>
      <c r="E2" t="s">
        <v>23</v>
      </c>
    </row>
    <row r="3" spans="1:5" x14ac:dyDescent="0.35">
      <c r="A3" s="2" t="s">
        <v>19</v>
      </c>
      <c r="B3" s="2">
        <f>4000/3600</f>
        <v>1.1111111111111112</v>
      </c>
      <c r="C3" s="2">
        <f>4000/3600</f>
        <v>1.1111111111111112</v>
      </c>
      <c r="D3" s="2" t="s">
        <v>25</v>
      </c>
      <c r="E3" s="4" t="s">
        <v>24</v>
      </c>
    </row>
    <row r="4" spans="1:5" x14ac:dyDescent="0.35">
      <c r="A4" s="3" t="s">
        <v>20</v>
      </c>
      <c r="B4" s="3">
        <f>200/30</f>
        <v>6.666666666666667</v>
      </c>
      <c r="C4" s="3">
        <f>200/30</f>
        <v>6.666666666666667</v>
      </c>
      <c r="D4" s="3" t="s">
        <v>3</v>
      </c>
    </row>
    <row r="5" spans="1:5" x14ac:dyDescent="0.35">
      <c r="A5" s="3" t="s">
        <v>15</v>
      </c>
      <c r="B5" s="3">
        <v>20</v>
      </c>
      <c r="C5" s="3">
        <v>20</v>
      </c>
      <c r="D5" s="3" t="s">
        <v>4</v>
      </c>
      <c r="E5" t="s">
        <v>21</v>
      </c>
    </row>
    <row r="6" spans="1:5" x14ac:dyDescent="0.35">
      <c r="A6" s="3" t="s">
        <v>5</v>
      </c>
      <c r="B6" s="3">
        <v>0</v>
      </c>
      <c r="C6" s="3">
        <f>1600</f>
        <v>1600</v>
      </c>
      <c r="D6" s="3" t="s">
        <v>26</v>
      </c>
    </row>
    <row r="7" spans="1:5" x14ac:dyDescent="0.35">
      <c r="A7" s="3" t="s">
        <v>16</v>
      </c>
      <c r="B7" s="3">
        <f>B6*0.2/(365*24)</f>
        <v>0</v>
      </c>
      <c r="C7" s="3">
        <f>C6*0.2/(365*24)</f>
        <v>3.6529680365296802E-2</v>
      </c>
      <c r="D7" s="3" t="s">
        <v>27</v>
      </c>
      <c r="E7" t="s">
        <v>28</v>
      </c>
    </row>
    <row r="8" spans="1:5" x14ac:dyDescent="0.35">
      <c r="A8" s="3" t="s">
        <v>8</v>
      </c>
      <c r="B8" s="3">
        <v>0</v>
      </c>
      <c r="C8" s="3">
        <v>0</v>
      </c>
      <c r="D8" s="3" t="s">
        <v>6</v>
      </c>
    </row>
    <row r="9" spans="1:5" x14ac:dyDescent="0.35">
      <c r="A9" s="3" t="s">
        <v>10</v>
      </c>
      <c r="B9" s="3">
        <v>0</v>
      </c>
      <c r="C9" s="3">
        <v>0</v>
      </c>
      <c r="D9" s="3" t="s">
        <v>9</v>
      </c>
    </row>
    <row r="10" spans="1:5" x14ac:dyDescent="0.35">
      <c r="A10" s="3" t="s">
        <v>11</v>
      </c>
      <c r="B10" s="3">
        <v>0</v>
      </c>
      <c r="C10" s="3">
        <v>0</v>
      </c>
      <c r="D10" s="3" t="s">
        <v>12</v>
      </c>
    </row>
    <row r="11" spans="1:5" x14ac:dyDescent="0.35">
      <c r="A11" s="3" t="s">
        <v>13</v>
      </c>
      <c r="B11" s="3">
        <v>0</v>
      </c>
      <c r="C11" s="3">
        <v>0</v>
      </c>
      <c r="D1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COMP1</vt:lpstr>
      <vt:lpstr>COMP2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Bruno</dc:creator>
  <cp:lastModifiedBy>Lorenzo Bruno</cp:lastModifiedBy>
  <dcterms:created xsi:type="dcterms:W3CDTF">2015-06-05T18:17:20Z</dcterms:created>
  <dcterms:modified xsi:type="dcterms:W3CDTF">2025-08-28T14:16:48Z</dcterms:modified>
</cp:coreProperties>
</file>