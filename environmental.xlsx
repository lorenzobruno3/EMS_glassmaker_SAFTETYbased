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93FFA5E6-06CA-4813-B9D6-2D1687206EF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environmental" sheetId="5" r:id="rId1"/>
    <sheet name="SOEC" sheetId="6" r:id="rId2"/>
    <sheet name="AEM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5" l="1"/>
  <c r="G2" i="5" l="1"/>
</calcChain>
</file>

<file path=xl/sharedStrings.xml><?xml version="1.0" encoding="utf-8"?>
<sst xmlns="http://schemas.openxmlformats.org/spreadsheetml/2006/main" count="102" uniqueCount="39">
  <si>
    <t>Parameters</t>
  </si>
  <si>
    <t>value</t>
  </si>
  <si>
    <t>unit</t>
  </si>
  <si>
    <t>%</t>
  </si>
  <si>
    <t>bar</t>
  </si>
  <si>
    <t>yr</t>
  </si>
  <si>
    <t>CAPEX</t>
  </si>
  <si>
    <t>€/kWel</t>
  </si>
  <si>
    <t>€/kWel/annual</t>
  </si>
  <si>
    <t>%CAPEX</t>
  </si>
  <si>
    <t>LCOE</t>
  </si>
  <si>
    <t>€/kWh</t>
  </si>
  <si>
    <t>LCOH</t>
  </si>
  <si>
    <t>€/kg</t>
  </si>
  <si>
    <t>kW</t>
  </si>
  <si>
    <t>rated_power</t>
  </si>
  <si>
    <t>efficiency</t>
  </si>
  <si>
    <t>low_range</t>
  </si>
  <si>
    <t>high_range</t>
  </si>
  <si>
    <t>pressure</t>
  </si>
  <si>
    <t>stack_lifetime</t>
  </si>
  <si>
    <t>bop_lifetime</t>
  </si>
  <si>
    <t>OPEX_fix</t>
  </si>
  <si>
    <t>OPEX_var</t>
  </si>
  <si>
    <t>installation_cost</t>
  </si>
  <si>
    <t>replacement_cost</t>
  </si>
  <si>
    <t>-</t>
  </si>
  <si>
    <t>€/kWel/h</t>
  </si>
  <si>
    <t>aggiornato alle ore in un anno</t>
  </si>
  <si>
    <t>RAMP</t>
  </si>
  <si>
    <t>kW/h</t>
  </si>
  <si>
    <t xml:space="preserve">=10% but also 5% </t>
  </si>
  <si>
    <t>ECI</t>
  </si>
  <si>
    <t>carbon_cost</t>
  </si>
  <si>
    <t>€/kgCO2</t>
  </si>
  <si>
    <t>kgCO2/kWh</t>
  </si>
  <si>
    <t>https://lowcarbonpower.org/es/region/Eslovenia</t>
  </si>
  <si>
    <t>https://climate.ec.europa.eu/document/download/92ec0ab3-24cf-4814-ad59-81c15e310bea_en?filename=2024_carbon_market_report_en.pdf</t>
  </si>
  <si>
    <t>carbon_cost_indirect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</si>
</sst>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imate.ec.europa.eu/document/download/92ec0ab3-24cf-4814-ad59-81c15e310bea_en?filename=2024_carbon_market_report_en.pdf" TargetMode="External"/><Relationship Id="rId1" Type="http://schemas.openxmlformats.org/officeDocument/2006/relationships/hyperlink" Target="https://lowcarbonpower.org/es/region/Esloven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3C2A-B4D9-439A-9540-59A75A22B7D5}">
  <dimension ref="A1:G17"/>
  <sheetViews>
    <sheetView tabSelected="1" workbookViewId="0">
      <selection activeCell="B2" sqref="B2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7" x14ac:dyDescent="0.35">
      <c r="A1" s="1" t="s">
        <v>0</v>
      </c>
      <c r="B1" s="1" t="s">
        <v>1</v>
      </c>
      <c r="C1" s="1" t="s">
        <v>2</v>
      </c>
    </row>
    <row r="2" spans="1:7" x14ac:dyDescent="0.35">
      <c r="A2" s="3" t="s">
        <v>38</v>
      </c>
      <c r="B2" s="3">
        <f>B3*B17</f>
        <v>1.5299999999999998E-2</v>
      </c>
      <c r="C2" s="3" t="s">
        <v>11</v>
      </c>
      <c r="E2" s="5" t="s">
        <v>36</v>
      </c>
      <c r="G2">
        <f>B2*B3</f>
        <v>1.1474999999999999E-3</v>
      </c>
    </row>
    <row r="3" spans="1:7" x14ac:dyDescent="0.35">
      <c r="A3" s="2" t="s">
        <v>33</v>
      </c>
      <c r="B3" s="2">
        <v>7.4999999999999997E-2</v>
      </c>
      <c r="C3" s="2" t="s">
        <v>34</v>
      </c>
      <c r="D3">
        <v>85000</v>
      </c>
      <c r="E3" s="5" t="s">
        <v>37</v>
      </c>
    </row>
    <row r="4" spans="1:7" x14ac:dyDescent="0.35">
      <c r="A4" s="2" t="s">
        <v>17</v>
      </c>
      <c r="B4" s="2">
        <v>0</v>
      </c>
      <c r="C4" s="2" t="s">
        <v>26</v>
      </c>
    </row>
    <row r="5" spans="1:7" x14ac:dyDescent="0.35">
      <c r="A5" s="2" t="s">
        <v>18</v>
      </c>
      <c r="B5" s="2">
        <v>0</v>
      </c>
      <c r="C5" s="2" t="s">
        <v>26</v>
      </c>
    </row>
    <row r="6" spans="1:7" x14ac:dyDescent="0.35">
      <c r="A6" s="2" t="s">
        <v>19</v>
      </c>
      <c r="B6" s="2">
        <v>0</v>
      </c>
      <c r="C6" s="2" t="s">
        <v>4</v>
      </c>
    </row>
    <row r="7" spans="1:7" x14ac:dyDescent="0.35">
      <c r="A7" s="2" t="s">
        <v>20</v>
      </c>
      <c r="B7" s="2">
        <v>0</v>
      </c>
      <c r="C7" s="2" t="s">
        <v>5</v>
      </c>
    </row>
    <row r="8" spans="1:7" x14ac:dyDescent="0.35">
      <c r="A8" s="2" t="s">
        <v>21</v>
      </c>
      <c r="B8" s="2">
        <v>0</v>
      </c>
      <c r="C8" s="2" t="s">
        <v>5</v>
      </c>
    </row>
    <row r="9" spans="1:7" x14ac:dyDescent="0.35">
      <c r="A9" s="2" t="s">
        <v>6</v>
      </c>
      <c r="B9" s="2">
        <v>0</v>
      </c>
      <c r="C9" s="2" t="s">
        <v>7</v>
      </c>
    </row>
    <row r="10" spans="1:7" x14ac:dyDescent="0.35">
      <c r="A10" s="2" t="s">
        <v>22</v>
      </c>
      <c r="B10" s="2">
        <v>0</v>
      </c>
      <c r="C10" s="2" t="s">
        <v>27</v>
      </c>
      <c r="D10" t="s">
        <v>28</v>
      </c>
    </row>
    <row r="11" spans="1:7" x14ac:dyDescent="0.35">
      <c r="A11" s="2" t="s">
        <v>23</v>
      </c>
      <c r="B11" s="2">
        <v>0</v>
      </c>
      <c r="C11" s="2" t="s">
        <v>27</v>
      </c>
      <c r="D11" t="s">
        <v>28</v>
      </c>
    </row>
    <row r="12" spans="1:7" x14ac:dyDescent="0.35">
      <c r="A12" s="2" t="s">
        <v>24</v>
      </c>
      <c r="B12" s="2">
        <v>0</v>
      </c>
      <c r="C12" s="2" t="s">
        <v>9</v>
      </c>
    </row>
    <row r="13" spans="1:7" x14ac:dyDescent="0.35">
      <c r="A13" s="2" t="s">
        <v>25</v>
      </c>
      <c r="B13" s="2">
        <v>0</v>
      </c>
      <c r="C13" s="2" t="s">
        <v>9</v>
      </c>
    </row>
    <row r="14" spans="1:7" x14ac:dyDescent="0.35">
      <c r="A14" s="2" t="s">
        <v>10</v>
      </c>
      <c r="B14" s="2">
        <v>0</v>
      </c>
      <c r="C14" s="2" t="s">
        <v>11</v>
      </c>
    </row>
    <row r="15" spans="1:7" x14ac:dyDescent="0.35">
      <c r="A15" s="2" t="s">
        <v>12</v>
      </c>
      <c r="B15" s="2">
        <v>0</v>
      </c>
      <c r="C15" s="2" t="s">
        <v>13</v>
      </c>
    </row>
    <row r="16" spans="1:7" x14ac:dyDescent="0.35">
      <c r="A16" s="2" t="s">
        <v>29</v>
      </c>
      <c r="B16" s="2">
        <v>0</v>
      </c>
      <c r="C16" s="2" t="s">
        <v>30</v>
      </c>
      <c r="D16" s="4" t="s">
        <v>31</v>
      </c>
    </row>
    <row r="17" spans="1:3" x14ac:dyDescent="0.35">
      <c r="A17" s="3" t="s">
        <v>32</v>
      </c>
      <c r="B17" s="3">
        <v>0.20399999999999999</v>
      </c>
      <c r="C17" s="3" t="s">
        <v>35</v>
      </c>
    </row>
  </sheetData>
  <hyperlinks>
    <hyperlink ref="E2" r:id="rId1" xr:uid="{41B89CAE-4359-45AC-A215-9DD624A387FD}"/>
    <hyperlink ref="E3" r:id="rId2" xr:uid="{6ACD2FAC-C646-4DE6-851B-3EBF32BAEC32}"/>
  </hyperlinks>
  <pageMargins left="0.7" right="0.7" top="0.75" bottom="0.75" header="0.3" footer="0.3"/>
  <pageSetup orientation="portrait" horizontalDpi="4294967295" verticalDpi="4294967295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548A-85A5-4898-87A5-F1AB774A7AA2}">
  <dimension ref="A1:C15"/>
  <sheetViews>
    <sheetView workbookViewId="0">
      <selection activeCell="B4" sqref="B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85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1011-56E0-4835-AD53-0E3A7B723D13}">
  <dimension ref="A1:C15"/>
  <sheetViews>
    <sheetView workbookViewId="0">
      <selection activeCell="A14" sqref="A14"/>
    </sheetView>
  </sheetViews>
  <sheetFormatPr defaultRowHeight="14.5" x14ac:dyDescent="0.35"/>
  <cols>
    <col min="1" max="1" width="26.81640625" customWidth="1"/>
    <col min="2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15</v>
      </c>
      <c r="B2" s="3">
        <v>1000</v>
      </c>
      <c r="C2" s="3" t="s">
        <v>14</v>
      </c>
    </row>
    <row r="3" spans="1:3" x14ac:dyDescent="0.35">
      <c r="A3" s="2" t="s">
        <v>16</v>
      </c>
      <c r="B3" s="2">
        <v>65</v>
      </c>
      <c r="C3" s="2" t="s">
        <v>3</v>
      </c>
    </row>
    <row r="4" spans="1:3" x14ac:dyDescent="0.35">
      <c r="A4" s="2" t="s">
        <v>17</v>
      </c>
      <c r="B4" s="2">
        <v>10</v>
      </c>
      <c r="C4" s="2" t="s">
        <v>3</v>
      </c>
    </row>
    <row r="5" spans="1:3" x14ac:dyDescent="0.35">
      <c r="A5" s="2" t="s">
        <v>18</v>
      </c>
      <c r="B5" s="2">
        <v>100</v>
      </c>
      <c r="C5" s="2" t="s">
        <v>3</v>
      </c>
    </row>
    <row r="6" spans="1:3" x14ac:dyDescent="0.35">
      <c r="A6" s="2" t="s">
        <v>19</v>
      </c>
      <c r="B6" s="2">
        <v>30</v>
      </c>
      <c r="C6" s="2" t="s">
        <v>4</v>
      </c>
    </row>
    <row r="7" spans="1:3" x14ac:dyDescent="0.35">
      <c r="A7" s="2" t="s">
        <v>20</v>
      </c>
      <c r="B7" s="2">
        <v>10</v>
      </c>
      <c r="C7" s="2" t="s">
        <v>5</v>
      </c>
    </row>
    <row r="8" spans="1:3" x14ac:dyDescent="0.35">
      <c r="A8" s="2" t="s">
        <v>21</v>
      </c>
      <c r="B8" s="2">
        <v>20</v>
      </c>
      <c r="C8" s="2" t="s">
        <v>5</v>
      </c>
    </row>
    <row r="9" spans="1:3" x14ac:dyDescent="0.35">
      <c r="A9" s="2" t="s">
        <v>6</v>
      </c>
      <c r="B9" s="2">
        <v>1188</v>
      </c>
      <c r="C9" s="2" t="s">
        <v>7</v>
      </c>
    </row>
    <row r="10" spans="1:3" x14ac:dyDescent="0.35">
      <c r="A10" s="2" t="s">
        <v>22</v>
      </c>
      <c r="B10" s="2">
        <v>15.54</v>
      </c>
      <c r="C10" s="2" t="s">
        <v>8</v>
      </c>
    </row>
    <row r="11" spans="1:3" x14ac:dyDescent="0.35">
      <c r="A11" s="2" t="s">
        <v>23</v>
      </c>
      <c r="B11" s="2">
        <v>0.04</v>
      </c>
      <c r="C11" s="2" t="s">
        <v>8</v>
      </c>
    </row>
    <row r="12" spans="1:3" x14ac:dyDescent="0.35">
      <c r="A12" s="2" t="s">
        <v>24</v>
      </c>
      <c r="B12" s="2">
        <v>10</v>
      </c>
      <c r="C12" s="2" t="s">
        <v>9</v>
      </c>
    </row>
    <row r="13" spans="1:3" x14ac:dyDescent="0.35">
      <c r="A13" s="2" t="s">
        <v>25</v>
      </c>
      <c r="B13" s="2">
        <v>35</v>
      </c>
      <c r="C13" s="2" t="s">
        <v>9</v>
      </c>
    </row>
    <row r="14" spans="1:3" x14ac:dyDescent="0.35">
      <c r="A14" s="2" t="s">
        <v>10</v>
      </c>
      <c r="B14" s="2">
        <v>0</v>
      </c>
      <c r="C14" s="2" t="s">
        <v>11</v>
      </c>
    </row>
    <row r="15" spans="1:3" x14ac:dyDescent="0.35">
      <c r="A15" s="2" t="s">
        <v>12</v>
      </c>
      <c r="B15" s="2">
        <v>10.83</v>
      </c>
      <c r="C15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environmental</vt:lpstr>
      <vt:lpstr>SOEC</vt:lpstr>
      <vt:lpstr>AEM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2025-12-05T11:47:46Z</dcterms:modified>
</cp:coreProperties>
</file>