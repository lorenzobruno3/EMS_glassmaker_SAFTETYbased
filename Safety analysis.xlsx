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renzo Bruno\Documents\UPC\code\realtime opt WP3\"/>
    </mc:Choice>
  </mc:AlternateContent>
  <xr:revisionPtr revIDLastSave="0" documentId="13_ncr:1_{47EC4333-CCAD-4EDC-A008-A365DB64ADC1}" xr6:coauthVersionLast="36" xr6:coauthVersionMax="47" xr10:uidLastSave="{00000000-0000-0000-0000-000000000000}"/>
  <bookViews>
    <workbookView xWindow="0" yWindow="0" windowWidth="19200" windowHeight="8070" activeTab="1" xr2:uid="{C3F750C8-0834-401C-8971-7DBD33D9431B}"/>
  </bookViews>
  <sheets>
    <sheet name="Input ranges" sheetId="1" r:id="rId1"/>
    <sheet name="UHI analysis" sheetId="2" r:id="rId2"/>
    <sheet name="Credit factor" sheetId="4" r:id="rId3"/>
    <sheet name="Results_Tank1" sheetId="3" r:id="rId4"/>
    <sheet name="Results_Tank2" sheetId="15" r:id="rId5"/>
    <sheet name="plot" sheetId="1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49" i="16" l="1"/>
  <c r="S50" i="16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" i="16"/>
  <c r="C26" i="16" l="1"/>
  <c r="C25" i="16"/>
  <c r="A2" i="16" a="1"/>
  <c r="A2" i="16" s="1"/>
  <c r="A3" i="16" a="1"/>
  <c r="A3" i="16" s="1"/>
  <c r="A4" i="16" a="1"/>
  <c r="A4" i="16" s="1"/>
  <c r="A5" i="16" a="1"/>
  <c r="A5" i="16" s="1"/>
  <c r="A6" i="16" a="1"/>
  <c r="A6" i="16" s="1"/>
  <c r="A7" i="16" a="1"/>
  <c r="A7" i="16" s="1"/>
  <c r="A8" i="16" a="1"/>
  <c r="A8" i="16" s="1"/>
  <c r="A9" i="16" a="1"/>
  <c r="A9" i="16" s="1"/>
  <c r="A10" i="16" a="1"/>
  <c r="A10" i="16" s="1"/>
  <c r="A11" i="16" a="1"/>
  <c r="A11" i="16" s="1"/>
  <c r="A12" i="16" a="1"/>
  <c r="A12" i="16" s="1"/>
  <c r="A13" i="16" a="1"/>
  <c r="A13" i="16" s="1"/>
  <c r="A14" i="16" a="1"/>
  <c r="A14" i="16" s="1"/>
  <c r="A15" i="16" a="1"/>
  <c r="A15" i="16" s="1"/>
  <c r="A16" i="16" a="1"/>
  <c r="A16" i="16" s="1"/>
  <c r="A17" i="16" a="1"/>
  <c r="A17" i="16" s="1"/>
  <c r="A18" i="16" a="1"/>
  <c r="A18" i="16" s="1"/>
  <c r="A19" i="16" a="1"/>
  <c r="A19" i="16" s="1"/>
  <c r="A20" i="16" a="1"/>
  <c r="A20" i="16" s="1"/>
  <c r="A21" i="16" a="1"/>
  <c r="A21" i="16" s="1"/>
  <c r="A22" i="16" a="1"/>
  <c r="A22" i="16" s="1"/>
  <c r="S3" i="16" a="1"/>
  <c r="S3" i="16" s="1"/>
  <c r="S4" i="16" a="1"/>
  <c r="S4" i="16" s="1"/>
  <c r="S5" i="16" a="1"/>
  <c r="S5" i="16" s="1"/>
  <c r="S6" i="16" a="1"/>
  <c r="S6" i="16" s="1"/>
  <c r="S7" i="16" a="1"/>
  <c r="S7" i="16" s="1"/>
  <c r="S8" i="16" a="1"/>
  <c r="S8" i="16" s="1"/>
  <c r="S9" i="16" a="1"/>
  <c r="S9" i="16" s="1"/>
  <c r="S10" i="16" a="1"/>
  <c r="S10" i="16" s="1"/>
  <c r="S11" i="16" a="1"/>
  <c r="S11" i="16" s="1"/>
  <c r="S12" i="16" a="1"/>
  <c r="S12" i="16" s="1"/>
  <c r="S13" i="16" a="1"/>
  <c r="S13" i="16" s="1"/>
  <c r="S14" i="16" a="1"/>
  <c r="S14" i="16" s="1"/>
  <c r="S15" i="16" a="1"/>
  <c r="S15" i="16" s="1"/>
  <c r="S16" i="16" a="1"/>
  <c r="S16" i="16" s="1"/>
  <c r="S17" i="16" a="1"/>
  <c r="S17" i="16" s="1"/>
  <c r="S18" i="16" a="1"/>
  <c r="S18" i="16" s="1"/>
  <c r="S19" i="16" a="1"/>
  <c r="S19" i="16" s="1"/>
  <c r="S20" i="16" a="1"/>
  <c r="S20" i="16" s="1"/>
  <c r="S21" i="16" a="1"/>
  <c r="S21" i="16" s="1"/>
  <c r="S22" i="16" a="1"/>
  <c r="S22" i="16" s="1"/>
  <c r="S23" i="16" a="1"/>
  <c r="S23" i="16" s="1"/>
  <c r="S24" i="16" a="1"/>
  <c r="S24" i="16" s="1"/>
  <c r="S25" i="16" a="1"/>
  <c r="S25" i="16" s="1"/>
  <c r="S26" i="16" a="1"/>
  <c r="S26" i="16" s="1"/>
  <c r="S27" i="16" a="1"/>
  <c r="S27" i="16" s="1"/>
  <c r="S28" i="16" a="1"/>
  <c r="S28" i="16" s="1"/>
  <c r="S29" i="16" a="1"/>
  <c r="S29" i="16" s="1"/>
  <c r="S30" i="16" a="1"/>
  <c r="S30" i="16" s="1"/>
  <c r="S31" i="16" a="1"/>
  <c r="S31" i="16" s="1"/>
  <c r="S32" i="16" a="1"/>
  <c r="S32" i="16" s="1"/>
  <c r="S33" i="16" a="1"/>
  <c r="S33" i="16" s="1"/>
  <c r="S34" i="16" a="1"/>
  <c r="S34" i="16" s="1"/>
  <c r="S35" i="16" a="1"/>
  <c r="S35" i="16" s="1"/>
  <c r="S36" i="16" a="1"/>
  <c r="S36" i="16" s="1"/>
  <c r="S37" i="16" a="1"/>
  <c r="S37" i="16" s="1"/>
  <c r="S38" i="16" a="1"/>
  <c r="S38" i="16" s="1"/>
  <c r="S39" i="16" a="1"/>
  <c r="S39" i="16" s="1"/>
  <c r="S40" i="16" a="1"/>
  <c r="S40" i="16" s="1"/>
  <c r="S41" i="16" a="1"/>
  <c r="S41" i="16" s="1"/>
  <c r="S42" i="16" a="1"/>
  <c r="S42" i="16" s="1"/>
  <c r="S43" i="16" a="1"/>
  <c r="S43" i="16" s="1"/>
  <c r="S44" i="16" a="1"/>
  <c r="S44" i="16" s="1"/>
  <c r="S45" i="16" a="1"/>
  <c r="S45" i="16" s="1"/>
  <c r="S46" i="16" a="1"/>
  <c r="S46" i="16" s="1"/>
  <c r="S2" i="16" a="1"/>
  <c r="S2" i="16" s="1"/>
  <c r="Q3" i="16" a="1"/>
  <c r="Q3" i="16" s="1"/>
  <c r="R3" i="16" s="1"/>
  <c r="Q4" i="16" a="1"/>
  <c r="Q4" i="16" s="1"/>
  <c r="R4" i="16" s="1"/>
  <c r="Q5" i="16" a="1"/>
  <c r="Q5" i="16" s="1"/>
  <c r="R5" i="16" s="1"/>
  <c r="Q6" i="16" a="1"/>
  <c r="Q6" i="16" s="1"/>
  <c r="R6" i="16" s="1"/>
  <c r="Q7" i="16" a="1"/>
  <c r="Q7" i="16" s="1"/>
  <c r="R7" i="16" s="1"/>
  <c r="Q8" i="16" a="1"/>
  <c r="Q8" i="16" s="1"/>
  <c r="R8" i="16" s="1"/>
  <c r="Q9" i="16" a="1"/>
  <c r="Q9" i="16" s="1"/>
  <c r="R9" i="16" s="1"/>
  <c r="Q10" i="16" a="1"/>
  <c r="Q10" i="16" s="1"/>
  <c r="R10" i="16" s="1"/>
  <c r="Q11" i="16" a="1"/>
  <c r="Q11" i="16" s="1"/>
  <c r="R11" i="16" s="1"/>
  <c r="Q12" i="16" a="1"/>
  <c r="Q12" i="16" s="1"/>
  <c r="R12" i="16" s="1"/>
  <c r="Q13" i="16" a="1"/>
  <c r="Q13" i="16" s="1"/>
  <c r="R13" i="16" s="1"/>
  <c r="Q14" i="16" a="1"/>
  <c r="Q14" i="16" s="1"/>
  <c r="R14" i="16" s="1"/>
  <c r="Q15" i="16" a="1"/>
  <c r="Q15" i="16" s="1"/>
  <c r="R15" i="16" s="1"/>
  <c r="Q16" i="16" a="1"/>
  <c r="Q16" i="16" s="1"/>
  <c r="R16" i="16" s="1"/>
  <c r="Q17" i="16" a="1"/>
  <c r="Q17" i="16" s="1"/>
  <c r="R17" i="16" s="1"/>
  <c r="Q18" i="16" a="1"/>
  <c r="Q18" i="16" s="1"/>
  <c r="R18" i="16" s="1"/>
  <c r="Q19" i="16" a="1"/>
  <c r="Q19" i="16" s="1"/>
  <c r="R19" i="16" s="1"/>
  <c r="Q20" i="16" a="1"/>
  <c r="Q20" i="16" s="1"/>
  <c r="R20" i="16" s="1"/>
  <c r="Q21" i="16" a="1"/>
  <c r="Q21" i="16" s="1"/>
  <c r="R21" i="16" s="1"/>
  <c r="Q22" i="16" a="1"/>
  <c r="Q22" i="16" s="1"/>
  <c r="R22" i="16" s="1"/>
  <c r="Q23" i="16" a="1"/>
  <c r="Q23" i="16" s="1"/>
  <c r="R23" i="16" s="1"/>
  <c r="Q24" i="16" a="1"/>
  <c r="Q24" i="16" s="1"/>
  <c r="R24" i="16" s="1"/>
  <c r="Q25" i="16" a="1"/>
  <c r="Q25" i="16" s="1"/>
  <c r="R25" i="16" s="1"/>
  <c r="Q26" i="16" a="1"/>
  <c r="Q26" i="16" s="1"/>
  <c r="R26" i="16" s="1"/>
  <c r="Q27" i="16" a="1"/>
  <c r="Q27" i="16" s="1"/>
  <c r="R27" i="16" s="1"/>
  <c r="Q28" i="16" a="1"/>
  <c r="Q28" i="16" s="1"/>
  <c r="R28" i="16" s="1"/>
  <c r="Q29" i="16" a="1"/>
  <c r="Q29" i="16" s="1"/>
  <c r="R29" i="16" s="1"/>
  <c r="Q30" i="16" a="1"/>
  <c r="Q30" i="16" s="1"/>
  <c r="R30" i="16" s="1"/>
  <c r="Q31" i="16" a="1"/>
  <c r="Q31" i="16" s="1"/>
  <c r="R31" i="16" s="1"/>
  <c r="Q32" i="16" a="1"/>
  <c r="Q32" i="16" s="1"/>
  <c r="R32" i="16" s="1"/>
  <c r="Q33" i="16" a="1"/>
  <c r="Q33" i="16" s="1"/>
  <c r="R33" i="16" s="1"/>
  <c r="Q34" i="16" a="1"/>
  <c r="Q34" i="16" s="1"/>
  <c r="R34" i="16" s="1"/>
  <c r="Q35" i="16" a="1"/>
  <c r="Q35" i="16" s="1"/>
  <c r="R35" i="16" s="1"/>
  <c r="Q36" i="16" a="1"/>
  <c r="Q36" i="16" s="1"/>
  <c r="R36" i="16" s="1"/>
  <c r="Q37" i="16" a="1"/>
  <c r="Q37" i="16" s="1"/>
  <c r="R37" i="16" s="1"/>
  <c r="Q38" i="16" a="1"/>
  <c r="Q38" i="16" s="1"/>
  <c r="R38" i="16" s="1"/>
  <c r="Q39" i="16" a="1"/>
  <c r="Q39" i="16" s="1"/>
  <c r="R39" i="16" s="1"/>
  <c r="Q40" i="16" a="1"/>
  <c r="Q40" i="16" s="1"/>
  <c r="R40" i="16" s="1"/>
  <c r="Q41" i="16" a="1"/>
  <c r="Q41" i="16" s="1"/>
  <c r="R41" i="16" s="1"/>
  <c r="Q42" i="16" a="1"/>
  <c r="Q42" i="16" s="1"/>
  <c r="R42" i="16" s="1"/>
  <c r="Q43" i="16" a="1"/>
  <c r="Q43" i="16" s="1"/>
  <c r="R43" i="16" s="1"/>
  <c r="Q44" i="16" a="1"/>
  <c r="Q44" i="16" s="1"/>
  <c r="R44" i="16" s="1"/>
  <c r="Q45" i="16" a="1"/>
  <c r="Q45" i="16" s="1"/>
  <c r="R45" i="16" s="1"/>
  <c r="Q46" i="16" a="1"/>
  <c r="Q46" i="16" s="1"/>
  <c r="R46" i="16" s="1"/>
  <c r="Q2" i="16" a="1"/>
  <c r="Q2" i="16" s="1"/>
  <c r="R2" i="16" s="1"/>
  <c r="C3" i="16" a="1"/>
  <c r="C3" i="16" s="1"/>
  <c r="C4" i="16" a="1"/>
  <c r="C4" i="16" s="1"/>
  <c r="C5" i="16" a="1"/>
  <c r="C5" i="16" s="1"/>
  <c r="C6" i="16" a="1"/>
  <c r="C6" i="16" s="1"/>
  <c r="C7" i="16" a="1"/>
  <c r="C7" i="16" s="1"/>
  <c r="C8" i="16" a="1"/>
  <c r="C8" i="16" s="1"/>
  <c r="C9" i="16" a="1"/>
  <c r="C9" i="16" s="1"/>
  <c r="C10" i="16" a="1"/>
  <c r="C10" i="16" s="1"/>
  <c r="C11" i="16" a="1"/>
  <c r="C11" i="16" s="1"/>
  <c r="C12" i="16" a="1"/>
  <c r="C12" i="16" s="1"/>
  <c r="C13" i="16" a="1"/>
  <c r="C13" i="16" s="1"/>
  <c r="C14" i="16" a="1"/>
  <c r="C14" i="16" s="1"/>
  <c r="C15" i="16" a="1"/>
  <c r="C15" i="16" s="1"/>
  <c r="C16" i="16" a="1"/>
  <c r="C16" i="16" s="1"/>
  <c r="C17" i="16" a="1"/>
  <c r="C17" i="16" s="1"/>
  <c r="C18" i="16" a="1"/>
  <c r="C18" i="16" s="1"/>
  <c r="C19" i="16" a="1"/>
  <c r="C19" i="16" s="1"/>
  <c r="C20" i="16" a="1"/>
  <c r="C20" i="16" s="1"/>
  <c r="C21" i="16" a="1"/>
  <c r="C21" i="16" s="1"/>
  <c r="C22" i="16" a="1"/>
  <c r="C22" i="16" s="1"/>
  <c r="C2" i="16" a="1"/>
  <c r="C2" i="16" s="1"/>
  <c r="A23" i="16" a="1"/>
  <c r="A23" i="16" s="1"/>
  <c r="A27" i="16" a="1"/>
  <c r="A27" i="16" s="1"/>
  <c r="A28" i="16" a="1"/>
  <c r="A28" i="16" s="1"/>
  <c r="A29" i="16" a="1"/>
  <c r="A29" i="16" s="1"/>
  <c r="A30" i="16" a="1"/>
  <c r="A30" i="16" s="1"/>
  <c r="A31" i="16" a="1"/>
  <c r="A31" i="16" s="1"/>
  <c r="A32" i="16" a="1"/>
  <c r="A32" i="16" s="1"/>
  <c r="A33" i="16" a="1"/>
  <c r="A33" i="16" s="1"/>
  <c r="A34" i="16" a="1"/>
  <c r="A34" i="16" s="1"/>
  <c r="A35" i="16" a="1"/>
  <c r="A35" i="16" s="1"/>
  <c r="A36" i="16" a="1"/>
  <c r="A36" i="16" s="1"/>
  <c r="A37" i="16" a="1"/>
  <c r="A37" i="16" s="1"/>
  <c r="A38" i="16"/>
  <c r="A39" i="16"/>
  <c r="M3" i="3" l="1"/>
  <c r="L5" i="3"/>
  <c r="L4" i="3"/>
  <c r="L3" i="3"/>
  <c r="K4" i="3"/>
  <c r="K3" i="3"/>
  <c r="K69" i="15" l="1"/>
  <c r="K70" i="15"/>
  <c r="K71" i="15"/>
  <c r="K72" i="15"/>
  <c r="K73" i="15"/>
  <c r="K74" i="15"/>
  <c r="K75" i="15"/>
  <c r="L75" i="15" s="1"/>
  <c r="K76" i="15"/>
  <c r="K77" i="15"/>
  <c r="K78" i="15"/>
  <c r="L78" i="15"/>
  <c r="K79" i="15"/>
  <c r="L79" i="15" s="1"/>
  <c r="K80" i="15"/>
  <c r="K81" i="15"/>
  <c r="L81" i="15" s="1"/>
  <c r="K82" i="15"/>
  <c r="L82" i="15" s="1"/>
  <c r="K83" i="15"/>
  <c r="L83" i="15"/>
  <c r="K84" i="15"/>
  <c r="L84" i="15" s="1"/>
  <c r="K85" i="15"/>
  <c r="K86" i="15"/>
  <c r="L86" i="15" s="1"/>
  <c r="K87" i="15"/>
  <c r="L87" i="15" s="1"/>
  <c r="K88" i="15"/>
  <c r="K89" i="15"/>
  <c r="L89" i="15" s="1"/>
  <c r="K90" i="15"/>
  <c r="L90" i="15" s="1"/>
  <c r="K91" i="15"/>
  <c r="K92" i="15"/>
  <c r="K93" i="15"/>
  <c r="L93" i="15"/>
  <c r="K94" i="15"/>
  <c r="K95" i="15"/>
  <c r="K96" i="15"/>
  <c r="L96" i="15" s="1"/>
  <c r="K97" i="15"/>
  <c r="K98" i="15"/>
  <c r="L98" i="15"/>
  <c r="K99" i="15"/>
  <c r="K100" i="15"/>
  <c r="K101" i="15"/>
  <c r="K102" i="15"/>
  <c r="K103" i="15"/>
  <c r="K104" i="15"/>
  <c r="K105" i="15"/>
  <c r="K106" i="15"/>
  <c r="K107" i="15"/>
  <c r="K108" i="15"/>
  <c r="K109" i="15"/>
  <c r="K110" i="15"/>
  <c r="K111" i="15"/>
  <c r="L111" i="15" s="1"/>
  <c r="K112" i="15"/>
  <c r="K113" i="15"/>
  <c r="K114" i="15"/>
  <c r="K115" i="15"/>
  <c r="K116" i="15"/>
  <c r="K117" i="15"/>
  <c r="K118" i="15"/>
  <c r="K119" i="15"/>
  <c r="K120" i="15"/>
  <c r="K121" i="15"/>
  <c r="K122" i="15"/>
  <c r="K123" i="15"/>
  <c r="L123" i="15"/>
  <c r="K124" i="15"/>
  <c r="K125" i="15"/>
  <c r="K126" i="15"/>
  <c r="K127" i="15"/>
  <c r="K128" i="15"/>
  <c r="K129" i="15"/>
  <c r="K130" i="15"/>
  <c r="K131" i="15"/>
  <c r="K132" i="15"/>
  <c r="L132" i="15" s="1"/>
  <c r="K133" i="15"/>
  <c r="K134" i="15"/>
  <c r="K135" i="15"/>
  <c r="K136" i="15"/>
  <c r="K137" i="15"/>
  <c r="K138" i="15"/>
  <c r="K139" i="15"/>
  <c r="K140" i="15"/>
  <c r="D69" i="15"/>
  <c r="E69" i="15"/>
  <c r="D70" i="15"/>
  <c r="E70" i="15"/>
  <c r="L70" i="15" s="1"/>
  <c r="D71" i="15"/>
  <c r="E71" i="15"/>
  <c r="D72" i="15"/>
  <c r="E72" i="15"/>
  <c r="D73" i="15"/>
  <c r="E73" i="15"/>
  <c r="L73" i="15" s="1"/>
  <c r="D74" i="15"/>
  <c r="E74" i="15"/>
  <c r="D75" i="15"/>
  <c r="E75" i="15"/>
  <c r="D76" i="15"/>
  <c r="E76" i="15"/>
  <c r="D77" i="15"/>
  <c r="E77" i="15"/>
  <c r="D78" i="15"/>
  <c r="E78" i="15"/>
  <c r="D79" i="15"/>
  <c r="E79" i="15"/>
  <c r="D80" i="15"/>
  <c r="E80" i="15"/>
  <c r="D81" i="15"/>
  <c r="E81" i="15"/>
  <c r="D82" i="15"/>
  <c r="E82" i="15"/>
  <c r="D83" i="15"/>
  <c r="E83" i="15"/>
  <c r="D84" i="15"/>
  <c r="E84" i="15"/>
  <c r="D85" i="15"/>
  <c r="E85" i="15"/>
  <c r="D86" i="15"/>
  <c r="E86" i="15"/>
  <c r="D87" i="15"/>
  <c r="E87" i="15"/>
  <c r="D88" i="15"/>
  <c r="E88" i="15"/>
  <c r="D89" i="15"/>
  <c r="E89" i="15"/>
  <c r="D90" i="15"/>
  <c r="E90" i="15"/>
  <c r="D91" i="15"/>
  <c r="E91" i="15"/>
  <c r="D92" i="15"/>
  <c r="E92" i="15"/>
  <c r="D93" i="15"/>
  <c r="E93" i="15"/>
  <c r="D94" i="15"/>
  <c r="E94" i="15"/>
  <c r="L94" i="15" s="1"/>
  <c r="D95" i="15"/>
  <c r="E95" i="15"/>
  <c r="L95" i="15" s="1"/>
  <c r="D96" i="15"/>
  <c r="E96" i="15"/>
  <c r="D97" i="15"/>
  <c r="E97" i="15"/>
  <c r="D98" i="15"/>
  <c r="E98" i="15"/>
  <c r="D99" i="15"/>
  <c r="E99" i="15"/>
  <c r="D100" i="15"/>
  <c r="E100" i="15"/>
  <c r="L100" i="15" s="1"/>
  <c r="D101" i="15"/>
  <c r="E101" i="15"/>
  <c r="L101" i="15" s="1"/>
  <c r="D102" i="15"/>
  <c r="E102" i="15"/>
  <c r="D103" i="15"/>
  <c r="E103" i="15"/>
  <c r="D104" i="15"/>
  <c r="E104" i="15"/>
  <c r="D105" i="15"/>
  <c r="E105" i="15"/>
  <c r="D106" i="15"/>
  <c r="E106" i="15"/>
  <c r="D107" i="15"/>
  <c r="E107" i="15"/>
  <c r="D108" i="15"/>
  <c r="E108" i="15"/>
  <c r="D109" i="15"/>
  <c r="E109" i="15"/>
  <c r="D110" i="15"/>
  <c r="E110" i="15"/>
  <c r="D111" i="15"/>
  <c r="E111" i="15"/>
  <c r="D112" i="15"/>
  <c r="E112" i="15"/>
  <c r="L112" i="15" s="1"/>
  <c r="D113" i="15"/>
  <c r="E113" i="15"/>
  <c r="D114" i="15"/>
  <c r="E114" i="15"/>
  <c r="D115" i="15"/>
  <c r="E115" i="15"/>
  <c r="D116" i="15"/>
  <c r="E116" i="15"/>
  <c r="D117" i="15"/>
  <c r="E117" i="15"/>
  <c r="D118" i="15"/>
  <c r="E118" i="15"/>
  <c r="D119" i="15"/>
  <c r="E119" i="15"/>
  <c r="D120" i="15"/>
  <c r="E120" i="15"/>
  <c r="L120" i="15" s="1"/>
  <c r="D121" i="15"/>
  <c r="E121" i="15"/>
  <c r="L121" i="15" s="1"/>
  <c r="D122" i="15"/>
  <c r="E122" i="15"/>
  <c r="D123" i="15"/>
  <c r="E123" i="15"/>
  <c r="D124" i="15"/>
  <c r="E124" i="15"/>
  <c r="D125" i="15"/>
  <c r="E125" i="15"/>
  <c r="D126" i="15"/>
  <c r="E126" i="15"/>
  <c r="D127" i="15"/>
  <c r="E127" i="15"/>
  <c r="D128" i="15"/>
  <c r="E128" i="15"/>
  <c r="D129" i="15"/>
  <c r="E129" i="15"/>
  <c r="D130" i="15"/>
  <c r="E130" i="15"/>
  <c r="D131" i="15"/>
  <c r="E131" i="15"/>
  <c r="L131" i="15" s="1"/>
  <c r="D132" i="15"/>
  <c r="E132" i="15"/>
  <c r="D133" i="15"/>
  <c r="E133" i="15"/>
  <c r="D134" i="15"/>
  <c r="E134" i="15"/>
  <c r="D135" i="15"/>
  <c r="E135" i="15"/>
  <c r="D136" i="15"/>
  <c r="E136" i="15"/>
  <c r="L136" i="15" s="1"/>
  <c r="D137" i="15"/>
  <c r="E137" i="15"/>
  <c r="L137" i="15" s="1"/>
  <c r="D138" i="15"/>
  <c r="E138" i="15"/>
  <c r="D139" i="15"/>
  <c r="E139" i="15"/>
  <c r="D140" i="15"/>
  <c r="E140" i="15"/>
  <c r="K68" i="15"/>
  <c r="E68" i="15"/>
  <c r="D68" i="15"/>
  <c r="K67" i="15"/>
  <c r="E67" i="15"/>
  <c r="D67" i="15"/>
  <c r="K66" i="15"/>
  <c r="E66" i="15"/>
  <c r="D66" i="15"/>
  <c r="K65" i="15"/>
  <c r="E65" i="15"/>
  <c r="D65" i="15"/>
  <c r="K64" i="15"/>
  <c r="E64" i="15"/>
  <c r="D64" i="15"/>
  <c r="K63" i="15"/>
  <c r="E63" i="15"/>
  <c r="D63" i="15"/>
  <c r="K62" i="15"/>
  <c r="E62" i="15"/>
  <c r="D62" i="15"/>
  <c r="K61" i="15"/>
  <c r="E61" i="15"/>
  <c r="D61" i="15"/>
  <c r="K60" i="15"/>
  <c r="E60" i="15"/>
  <c r="D60" i="15"/>
  <c r="K59" i="15"/>
  <c r="E59" i="15"/>
  <c r="D59" i="15"/>
  <c r="K58" i="15"/>
  <c r="E58" i="15"/>
  <c r="D58" i="15"/>
  <c r="K57" i="15"/>
  <c r="E57" i="15"/>
  <c r="D57" i="15"/>
  <c r="K56" i="15"/>
  <c r="E56" i="15"/>
  <c r="D56" i="15"/>
  <c r="K55" i="15"/>
  <c r="L55" i="15" s="1"/>
  <c r="E55" i="15"/>
  <c r="D55" i="15"/>
  <c r="K54" i="15"/>
  <c r="E54" i="15"/>
  <c r="D54" i="15"/>
  <c r="K53" i="15"/>
  <c r="E53" i="15"/>
  <c r="D53" i="15"/>
  <c r="K52" i="15"/>
  <c r="E52" i="15"/>
  <c r="D52" i="15"/>
  <c r="K51" i="15"/>
  <c r="E51" i="15"/>
  <c r="D51" i="15"/>
  <c r="K50" i="15"/>
  <c r="E50" i="15"/>
  <c r="D50" i="15"/>
  <c r="K49" i="15"/>
  <c r="E49" i="15"/>
  <c r="D49" i="15"/>
  <c r="K48" i="15"/>
  <c r="E48" i="15"/>
  <c r="D48" i="15"/>
  <c r="K47" i="15"/>
  <c r="E47" i="15"/>
  <c r="D47" i="15"/>
  <c r="K46" i="15"/>
  <c r="E46" i="15"/>
  <c r="D46" i="15"/>
  <c r="K45" i="15"/>
  <c r="E45" i="15"/>
  <c r="D45" i="15"/>
  <c r="K44" i="15"/>
  <c r="E44" i="15"/>
  <c r="D44" i="15"/>
  <c r="K43" i="15"/>
  <c r="E43" i="15"/>
  <c r="D43" i="15"/>
  <c r="K42" i="15"/>
  <c r="E42" i="15"/>
  <c r="D42" i="15"/>
  <c r="K41" i="15"/>
  <c r="E41" i="15"/>
  <c r="D41" i="15"/>
  <c r="K40" i="15"/>
  <c r="E40" i="15"/>
  <c r="D40" i="15"/>
  <c r="K39" i="15"/>
  <c r="E39" i="15"/>
  <c r="D39" i="15"/>
  <c r="K38" i="15"/>
  <c r="E38" i="15"/>
  <c r="D38" i="15"/>
  <c r="K37" i="15"/>
  <c r="E37" i="15"/>
  <c r="D37" i="15"/>
  <c r="K36" i="15"/>
  <c r="E36" i="15"/>
  <c r="D36" i="15"/>
  <c r="K35" i="15"/>
  <c r="L35" i="15" s="1"/>
  <c r="E35" i="15"/>
  <c r="D35" i="15"/>
  <c r="K34" i="15"/>
  <c r="E34" i="15"/>
  <c r="D34" i="15"/>
  <c r="K33" i="15"/>
  <c r="E33" i="15"/>
  <c r="D33" i="15"/>
  <c r="K32" i="15"/>
  <c r="E32" i="15"/>
  <c r="D32" i="15"/>
  <c r="K31" i="15"/>
  <c r="E31" i="15"/>
  <c r="D31" i="15"/>
  <c r="K30" i="15"/>
  <c r="E30" i="15"/>
  <c r="D30" i="15"/>
  <c r="K29" i="15"/>
  <c r="E29" i="15"/>
  <c r="D29" i="15"/>
  <c r="K28" i="15"/>
  <c r="E28" i="15"/>
  <c r="D28" i="15"/>
  <c r="K27" i="15"/>
  <c r="E27" i="15"/>
  <c r="D27" i="15"/>
  <c r="K26" i="15"/>
  <c r="E26" i="15"/>
  <c r="D26" i="15"/>
  <c r="K25" i="15"/>
  <c r="E25" i="15"/>
  <c r="D25" i="15"/>
  <c r="K24" i="15"/>
  <c r="E24" i="15"/>
  <c r="D24" i="15"/>
  <c r="K23" i="15"/>
  <c r="E23" i="15"/>
  <c r="D23" i="15"/>
  <c r="K22" i="15"/>
  <c r="E22" i="15"/>
  <c r="D22" i="15"/>
  <c r="K21" i="15"/>
  <c r="E21" i="15"/>
  <c r="D21" i="15"/>
  <c r="K20" i="15"/>
  <c r="E20" i="15"/>
  <c r="D20" i="15"/>
  <c r="K19" i="15"/>
  <c r="E19" i="15"/>
  <c r="D19" i="15"/>
  <c r="K18" i="15"/>
  <c r="E18" i="15"/>
  <c r="D18" i="15"/>
  <c r="K17" i="15"/>
  <c r="E17" i="15"/>
  <c r="D17" i="15"/>
  <c r="K16" i="15"/>
  <c r="E16" i="15"/>
  <c r="D16" i="15"/>
  <c r="K15" i="15"/>
  <c r="L15" i="15" s="1"/>
  <c r="E15" i="15"/>
  <c r="D15" i="15"/>
  <c r="K14" i="15"/>
  <c r="E14" i="15"/>
  <c r="D14" i="15"/>
  <c r="K13" i="15"/>
  <c r="E13" i="15"/>
  <c r="D13" i="15"/>
  <c r="K12" i="15"/>
  <c r="E12" i="15"/>
  <c r="D12" i="15"/>
  <c r="K11" i="15"/>
  <c r="E11" i="15"/>
  <c r="D11" i="15"/>
  <c r="K10" i="15"/>
  <c r="E10" i="15"/>
  <c r="D10" i="15"/>
  <c r="K9" i="15"/>
  <c r="E9" i="15"/>
  <c r="D9" i="15"/>
  <c r="K8" i="15"/>
  <c r="E8" i="15"/>
  <c r="D8" i="15"/>
  <c r="K7" i="15"/>
  <c r="E7" i="15"/>
  <c r="D7" i="15"/>
  <c r="K6" i="15"/>
  <c r="E6" i="15"/>
  <c r="D6" i="15"/>
  <c r="K5" i="15"/>
  <c r="E5" i="15"/>
  <c r="D5" i="15"/>
  <c r="K4" i="15"/>
  <c r="E4" i="15"/>
  <c r="D4" i="15"/>
  <c r="K3" i="15"/>
  <c r="E3" i="15"/>
  <c r="D3" i="15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3" i="2"/>
  <c r="D42" i="3"/>
  <c r="E42" i="3"/>
  <c r="K42" i="3"/>
  <c r="D43" i="3"/>
  <c r="E43" i="3"/>
  <c r="K43" i="3"/>
  <c r="D44" i="3"/>
  <c r="E44" i="3"/>
  <c r="K44" i="3"/>
  <c r="L44" i="3" s="1"/>
  <c r="D45" i="3"/>
  <c r="E45" i="3"/>
  <c r="K45" i="3"/>
  <c r="L45" i="3" s="1"/>
  <c r="D46" i="3"/>
  <c r="E46" i="3"/>
  <c r="K46" i="3"/>
  <c r="D47" i="3"/>
  <c r="E47" i="3"/>
  <c r="K47" i="3"/>
  <c r="D48" i="3"/>
  <c r="E48" i="3"/>
  <c r="K48" i="3"/>
  <c r="L48" i="3" s="1"/>
  <c r="D49" i="3"/>
  <c r="E49" i="3"/>
  <c r="K49" i="3"/>
  <c r="L49" i="3" s="1"/>
  <c r="D50" i="3"/>
  <c r="E50" i="3"/>
  <c r="K50" i="3"/>
  <c r="L50" i="3" s="1"/>
  <c r="D51" i="3"/>
  <c r="E51" i="3"/>
  <c r="K51" i="3"/>
  <c r="L51" i="3" s="1"/>
  <c r="D52" i="3"/>
  <c r="E52" i="3"/>
  <c r="K52" i="3"/>
  <c r="D53" i="3"/>
  <c r="E53" i="3"/>
  <c r="K53" i="3"/>
  <c r="D54" i="3"/>
  <c r="E54" i="3"/>
  <c r="K54" i="3"/>
  <c r="L54" i="3" s="1"/>
  <c r="D55" i="3"/>
  <c r="E55" i="3"/>
  <c r="K55" i="3"/>
  <c r="D56" i="3"/>
  <c r="E56" i="3"/>
  <c r="K56" i="3"/>
  <c r="L56" i="3" s="1"/>
  <c r="D57" i="3"/>
  <c r="E57" i="3"/>
  <c r="K57" i="3"/>
  <c r="D58" i="3"/>
  <c r="E58" i="3"/>
  <c r="K58" i="3"/>
  <c r="D59" i="3"/>
  <c r="E59" i="3"/>
  <c r="K59" i="3"/>
  <c r="D60" i="3"/>
  <c r="E60" i="3"/>
  <c r="K60" i="3"/>
  <c r="D61" i="3"/>
  <c r="E61" i="3"/>
  <c r="K61" i="3"/>
  <c r="L61" i="3" s="1"/>
  <c r="D62" i="3"/>
  <c r="E62" i="3"/>
  <c r="K62" i="3"/>
  <c r="D63" i="3"/>
  <c r="E63" i="3"/>
  <c r="K63" i="3"/>
  <c r="L63" i="3"/>
  <c r="D64" i="3"/>
  <c r="E64" i="3"/>
  <c r="K64" i="3"/>
  <c r="D65" i="3"/>
  <c r="E65" i="3"/>
  <c r="K65" i="3"/>
  <c r="D66" i="3"/>
  <c r="E66" i="3"/>
  <c r="K66" i="3"/>
  <c r="D67" i="3"/>
  <c r="E67" i="3"/>
  <c r="K67" i="3"/>
  <c r="D68" i="3"/>
  <c r="E68" i="3"/>
  <c r="K68" i="3"/>
  <c r="C3" i="3"/>
  <c r="B3" i="3"/>
  <c r="K41" i="3"/>
  <c r="E41" i="3"/>
  <c r="D41" i="3"/>
  <c r="D18" i="3"/>
  <c r="E18" i="3"/>
  <c r="K18" i="3"/>
  <c r="D19" i="3"/>
  <c r="E19" i="3"/>
  <c r="K19" i="3"/>
  <c r="D20" i="3"/>
  <c r="E20" i="3"/>
  <c r="K20" i="3"/>
  <c r="D21" i="3"/>
  <c r="E21" i="3"/>
  <c r="K21" i="3"/>
  <c r="L21" i="3" s="1"/>
  <c r="D22" i="3"/>
  <c r="E22" i="3"/>
  <c r="K22" i="3"/>
  <c r="L22" i="3" s="1"/>
  <c r="D23" i="3"/>
  <c r="E23" i="3"/>
  <c r="K23" i="3"/>
  <c r="D24" i="3"/>
  <c r="E24" i="3"/>
  <c r="K24" i="3"/>
  <c r="D25" i="3"/>
  <c r="E25" i="3"/>
  <c r="K25" i="3"/>
  <c r="D26" i="3"/>
  <c r="E26" i="3"/>
  <c r="K26" i="3"/>
  <c r="D27" i="3"/>
  <c r="E27" i="3"/>
  <c r="K27" i="3"/>
  <c r="L27" i="3" s="1"/>
  <c r="D28" i="3"/>
  <c r="E28" i="3"/>
  <c r="K28" i="3"/>
  <c r="L28" i="3" s="1"/>
  <c r="D29" i="3"/>
  <c r="E29" i="3"/>
  <c r="K29" i="3"/>
  <c r="D30" i="3"/>
  <c r="E30" i="3"/>
  <c r="K30" i="3"/>
  <c r="L30" i="3" s="1"/>
  <c r="D31" i="3"/>
  <c r="E31" i="3"/>
  <c r="K31" i="3"/>
  <c r="D32" i="3"/>
  <c r="E32" i="3"/>
  <c r="K32" i="3"/>
  <c r="D33" i="3"/>
  <c r="E33" i="3"/>
  <c r="K33" i="3"/>
  <c r="D34" i="3"/>
  <c r="E34" i="3"/>
  <c r="K34" i="3"/>
  <c r="L34" i="3" s="1"/>
  <c r="D35" i="3"/>
  <c r="E35" i="3"/>
  <c r="K35" i="3"/>
  <c r="D36" i="3"/>
  <c r="E36" i="3"/>
  <c r="K36" i="3"/>
  <c r="D37" i="3"/>
  <c r="E37" i="3"/>
  <c r="K37" i="3"/>
  <c r="L37" i="3" s="1"/>
  <c r="D38" i="3"/>
  <c r="E38" i="3"/>
  <c r="K38" i="3"/>
  <c r="D39" i="3"/>
  <c r="E39" i="3"/>
  <c r="K39" i="3"/>
  <c r="D40" i="3"/>
  <c r="E40" i="3"/>
  <c r="K40" i="3"/>
  <c r="L40" i="3" s="1"/>
  <c r="K17" i="3"/>
  <c r="E17" i="3"/>
  <c r="D17" i="3"/>
  <c r="K16" i="3"/>
  <c r="E16" i="3"/>
  <c r="D16" i="3"/>
  <c r="K15" i="3"/>
  <c r="E15" i="3"/>
  <c r="D15" i="3"/>
  <c r="K14" i="3"/>
  <c r="E14" i="3"/>
  <c r="D14" i="3"/>
  <c r="K13" i="3"/>
  <c r="E13" i="3"/>
  <c r="D13" i="3"/>
  <c r="K12" i="3"/>
  <c r="E12" i="3"/>
  <c r="D12" i="3"/>
  <c r="K11" i="3"/>
  <c r="E11" i="3"/>
  <c r="D11" i="3"/>
  <c r="K10" i="3"/>
  <c r="E10" i="3"/>
  <c r="D10" i="3"/>
  <c r="K9" i="3"/>
  <c r="E9" i="3"/>
  <c r="D9" i="3"/>
  <c r="K8" i="3"/>
  <c r="E8" i="3"/>
  <c r="D8" i="3"/>
  <c r="K7" i="3"/>
  <c r="E7" i="3"/>
  <c r="D7" i="3"/>
  <c r="K6" i="3"/>
  <c r="E6" i="3"/>
  <c r="D6" i="3"/>
  <c r="E5" i="3"/>
  <c r="E4" i="3"/>
  <c r="E3" i="3"/>
  <c r="D5" i="3"/>
  <c r="D4" i="3"/>
  <c r="D3" i="3"/>
  <c r="K5" i="3"/>
  <c r="L38" i="3" l="1"/>
  <c r="L68" i="3"/>
  <c r="L35" i="3"/>
  <c r="L113" i="15"/>
  <c r="L92" i="15"/>
  <c r="L74" i="15"/>
  <c r="L71" i="15"/>
  <c r="L77" i="15"/>
  <c r="M75" i="15" s="1"/>
  <c r="P27" i="2" s="1"/>
  <c r="L133" i="15"/>
  <c r="L64" i="3"/>
  <c r="L85" i="15"/>
  <c r="L97" i="15"/>
  <c r="L76" i="15"/>
  <c r="L91" i="15"/>
  <c r="L124" i="15"/>
  <c r="L88" i="15"/>
  <c r="L103" i="15"/>
  <c r="L31" i="3"/>
  <c r="M111" i="15"/>
  <c r="P39" i="2" s="1"/>
  <c r="L138" i="15"/>
  <c r="L115" i="15"/>
  <c r="M84" i="15"/>
  <c r="P30" i="2" s="1"/>
  <c r="L128" i="15"/>
  <c r="M90" i="15"/>
  <c r="P32" i="2" s="1"/>
  <c r="L135" i="15"/>
  <c r="M135" i="15" s="1"/>
  <c r="P47" i="2" s="1"/>
  <c r="L125" i="15"/>
  <c r="M123" i="15" s="1"/>
  <c r="P43" i="2" s="1"/>
  <c r="L105" i="15"/>
  <c r="L114" i="15"/>
  <c r="L104" i="15"/>
  <c r="M81" i="15"/>
  <c r="P29" i="2" s="1"/>
  <c r="L108" i="15"/>
  <c r="L107" i="15"/>
  <c r="M96" i="15"/>
  <c r="P34" i="2" s="1"/>
  <c r="M93" i="15"/>
  <c r="P33" i="2" s="1"/>
  <c r="L122" i="15"/>
  <c r="M120" i="15" s="1"/>
  <c r="P42" i="2" s="1"/>
  <c r="L102" i="15"/>
  <c r="L72" i="15"/>
  <c r="M72" i="15" s="1"/>
  <c r="P26" i="2" s="1"/>
  <c r="M87" i="15"/>
  <c r="P31" i="2" s="1"/>
  <c r="L118" i="15"/>
  <c r="L127" i="15"/>
  <c r="L117" i="15"/>
  <c r="L126" i="15"/>
  <c r="L116" i="15"/>
  <c r="L106" i="15"/>
  <c r="L134" i="15"/>
  <c r="M132" i="15" s="1"/>
  <c r="P46" i="2" s="1"/>
  <c r="L140" i="15"/>
  <c r="L80" i="15"/>
  <c r="M78" i="15" s="1"/>
  <c r="P28" i="2" s="1"/>
  <c r="L130" i="15"/>
  <c r="L110" i="15"/>
  <c r="L119" i="15"/>
  <c r="L139" i="15"/>
  <c r="M138" i="15" s="1"/>
  <c r="P48" i="2" s="1"/>
  <c r="L99" i="15"/>
  <c r="M99" i="15" s="1"/>
  <c r="P35" i="2" s="1"/>
  <c r="L109" i="15"/>
  <c r="M108" i="15" s="1"/>
  <c r="P38" i="2" s="1"/>
  <c r="L3" i="15"/>
  <c r="L23" i="15"/>
  <c r="L43" i="15"/>
  <c r="L63" i="15"/>
  <c r="L129" i="15"/>
  <c r="L19" i="15"/>
  <c r="L39" i="15"/>
  <c r="L59" i="15"/>
  <c r="L69" i="15"/>
  <c r="L37" i="15"/>
  <c r="L24" i="15"/>
  <c r="L44" i="15"/>
  <c r="L64" i="15"/>
  <c r="L11" i="15"/>
  <c r="L31" i="15"/>
  <c r="L51" i="15"/>
  <c r="L18" i="15"/>
  <c r="L38" i="15"/>
  <c r="L58" i="15"/>
  <c r="L5" i="15"/>
  <c r="L25" i="15"/>
  <c r="L45" i="15"/>
  <c r="L65" i="15"/>
  <c r="L29" i="3"/>
  <c r="M27" i="3" s="1"/>
  <c r="J11" i="2" s="1"/>
  <c r="L62" i="3"/>
  <c r="L12" i="15"/>
  <c r="L32" i="15"/>
  <c r="L52" i="15"/>
  <c r="L10" i="15"/>
  <c r="L30" i="15"/>
  <c r="L57" i="15"/>
  <c r="L4" i="15"/>
  <c r="L6" i="15"/>
  <c r="L66" i="15"/>
  <c r="L13" i="15"/>
  <c r="L33" i="15"/>
  <c r="L53" i="15"/>
  <c r="L40" i="15"/>
  <c r="L60" i="15"/>
  <c r="L7" i="15"/>
  <c r="L27" i="15"/>
  <c r="L47" i="15"/>
  <c r="L67" i="15"/>
  <c r="L14" i="15"/>
  <c r="L34" i="15"/>
  <c r="L54" i="15"/>
  <c r="L21" i="15"/>
  <c r="L41" i="15"/>
  <c r="L61" i="15"/>
  <c r="L8" i="15"/>
  <c r="L28" i="15"/>
  <c r="L48" i="15"/>
  <c r="L68" i="15"/>
  <c r="L50" i="15"/>
  <c r="L17" i="15"/>
  <c r="L26" i="15"/>
  <c r="L46" i="15"/>
  <c r="L20" i="15"/>
  <c r="L22" i="15"/>
  <c r="L42" i="15"/>
  <c r="L62" i="15"/>
  <c r="L9" i="15"/>
  <c r="L29" i="15"/>
  <c r="L49" i="15"/>
  <c r="L25" i="3"/>
  <c r="L58" i="3"/>
  <c r="L16" i="15"/>
  <c r="L36" i="15"/>
  <c r="L56" i="15"/>
  <c r="M48" i="3"/>
  <c r="J18" i="2" s="1"/>
  <c r="L19" i="3"/>
  <c r="L65" i="3"/>
  <c r="M63" i="3" s="1"/>
  <c r="J23" i="2" s="1"/>
  <c r="L67" i="3"/>
  <c r="L26" i="3"/>
  <c r="L53" i="3"/>
  <c r="L39" i="3"/>
  <c r="L55" i="3"/>
  <c r="M54" i="3" s="1"/>
  <c r="J20" i="2" s="1"/>
  <c r="L43" i="3"/>
  <c r="L32" i="3"/>
  <c r="L66" i="3"/>
  <c r="L24" i="3"/>
  <c r="L18" i="3"/>
  <c r="L20" i="3"/>
  <c r="L42" i="3"/>
  <c r="M42" i="3" s="1"/>
  <c r="J16" i="2" s="1"/>
  <c r="L33" i="3"/>
  <c r="M33" i="3" s="1"/>
  <c r="J13" i="2" s="1"/>
  <c r="L17" i="3"/>
  <c r="L23" i="3"/>
  <c r="M21" i="3" s="1"/>
  <c r="J9" i="2" s="1"/>
  <c r="L59" i="3"/>
  <c r="L36" i="3"/>
  <c r="M36" i="3" s="1"/>
  <c r="J14" i="2" s="1"/>
  <c r="L10" i="3"/>
  <c r="L14" i="3"/>
  <c r="L52" i="3"/>
  <c r="L47" i="3"/>
  <c r="L13" i="3"/>
  <c r="L7" i="3"/>
  <c r="L8" i="3"/>
  <c r="L16" i="3"/>
  <c r="L57" i="3"/>
  <c r="L46" i="3"/>
  <c r="L11" i="3"/>
  <c r="L6" i="3"/>
  <c r="L60" i="3"/>
  <c r="L41" i="3"/>
  <c r="L9" i="3"/>
  <c r="L15" i="3"/>
  <c r="L12" i="3"/>
  <c r="M69" i="15" l="1"/>
  <c r="P25" i="2" s="1"/>
  <c r="M102" i="15"/>
  <c r="P36" i="2" s="1"/>
  <c r="M30" i="3"/>
  <c r="J12" i="2" s="1"/>
  <c r="M126" i="15"/>
  <c r="P44" i="2" s="1"/>
  <c r="M105" i="15"/>
  <c r="P37" i="2" s="1"/>
  <c r="M114" i="15"/>
  <c r="P40" i="2" s="1"/>
  <c r="M117" i="15"/>
  <c r="P41" i="2" s="1"/>
  <c r="M3" i="15"/>
  <c r="P3" i="2" s="1"/>
  <c r="M129" i="15"/>
  <c r="P45" i="2" s="1"/>
  <c r="M21" i="15"/>
  <c r="P9" i="2" s="1"/>
  <c r="M12" i="15"/>
  <c r="P6" i="2" s="1"/>
  <c r="M9" i="15"/>
  <c r="P5" i="2" s="1"/>
  <c r="M15" i="15"/>
  <c r="P7" i="2" s="1"/>
  <c r="M54" i="15"/>
  <c r="P20" i="2" s="1"/>
  <c r="M48" i="15"/>
  <c r="P18" i="2" s="1"/>
  <c r="M42" i="15"/>
  <c r="P16" i="2" s="1"/>
  <c r="M57" i="15"/>
  <c r="P21" i="2" s="1"/>
  <c r="M27" i="15"/>
  <c r="P11" i="2" s="1"/>
  <c r="M60" i="15"/>
  <c r="P22" i="2" s="1"/>
  <c r="M63" i="15"/>
  <c r="P23" i="2" s="1"/>
  <c r="M39" i="15"/>
  <c r="P15" i="2" s="1"/>
  <c r="M51" i="15"/>
  <c r="P19" i="2" s="1"/>
  <c r="M45" i="15"/>
  <c r="P17" i="2" s="1"/>
  <c r="M33" i="15"/>
  <c r="P13" i="2" s="1"/>
  <c r="M6" i="15"/>
  <c r="P4" i="2" s="1"/>
  <c r="M66" i="3"/>
  <c r="J24" i="2" s="1"/>
  <c r="M30" i="15"/>
  <c r="P12" i="2" s="1"/>
  <c r="M18" i="15"/>
  <c r="P8" i="2" s="1"/>
  <c r="M66" i="15"/>
  <c r="P24" i="2" s="1"/>
  <c r="M6" i="3"/>
  <c r="J4" i="2" s="1"/>
  <c r="M45" i="3"/>
  <c r="J17" i="2" s="1"/>
  <c r="M36" i="15"/>
  <c r="P14" i="2" s="1"/>
  <c r="M24" i="15"/>
  <c r="P10" i="2" s="1"/>
  <c r="M12" i="3"/>
  <c r="J6" i="2" s="1"/>
  <c r="M9" i="3"/>
  <c r="J5" i="2" s="1"/>
  <c r="M60" i="3"/>
  <c r="J22" i="2" s="1"/>
  <c r="M24" i="3"/>
  <c r="J10" i="2" s="1"/>
  <c r="M57" i="3"/>
  <c r="J21" i="2" s="1"/>
  <c r="M51" i="3"/>
  <c r="J19" i="2" s="1"/>
  <c r="M15" i="3"/>
  <c r="J7" i="2" s="1"/>
  <c r="M18" i="3"/>
  <c r="J8" i="2" s="1"/>
  <c r="M39" i="3"/>
  <c r="J15" i="2" s="1"/>
  <c r="J3" i="2"/>
  <c r="C43" i="1" l="1"/>
  <c r="D43" i="1" s="1"/>
  <c r="E43" i="1" s="1"/>
  <c r="C26" i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25" i="1"/>
  <c r="H26" i="1"/>
  <c r="H27" i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25" i="1"/>
  <c r="G24" i="1"/>
  <c r="I24" i="1" s="1"/>
  <c r="J24" i="1" s="1"/>
  <c r="G23" i="1"/>
  <c r="I23" i="1" s="1"/>
  <c r="J23" i="1" s="1"/>
  <c r="B24" i="1"/>
  <c r="D24" i="1" s="1"/>
  <c r="E24" i="1" s="1"/>
  <c r="B23" i="1"/>
  <c r="D23" i="1" s="1"/>
  <c r="E23" i="1" s="1"/>
  <c r="C44" i="1" l="1"/>
  <c r="D39" i="1"/>
  <c r="E39" i="1" s="1"/>
  <c r="I40" i="1"/>
  <c r="J40" i="1" s="1"/>
  <c r="H41" i="1"/>
  <c r="H42" i="1" s="1"/>
  <c r="I41" i="1"/>
  <c r="J41" i="1" s="1"/>
  <c r="D25" i="1"/>
  <c r="E25" i="1" s="1"/>
  <c r="I26" i="1"/>
  <c r="J26" i="1" s="1"/>
  <c r="I25" i="1"/>
  <c r="J25" i="1" s="1"/>
  <c r="D26" i="1"/>
  <c r="E26" i="1" s="1"/>
  <c r="I27" i="1"/>
  <c r="J27" i="1" s="1"/>
  <c r="C45" i="1" l="1"/>
  <c r="D44" i="1"/>
  <c r="E44" i="1" s="1"/>
  <c r="D40" i="1"/>
  <c r="E40" i="1" s="1"/>
  <c r="H43" i="1"/>
  <c r="I42" i="1"/>
  <c r="J42" i="1" s="1"/>
  <c r="D27" i="1"/>
  <c r="E27" i="1" s="1"/>
  <c r="I28" i="1"/>
  <c r="J28" i="1" s="1"/>
  <c r="D45" i="1" l="1"/>
  <c r="E45" i="1" s="1"/>
  <c r="D42" i="1"/>
  <c r="E42" i="1" s="1"/>
  <c r="D41" i="1"/>
  <c r="E41" i="1" s="1"/>
  <c r="H44" i="1"/>
  <c r="I43" i="1"/>
  <c r="J43" i="1" s="1"/>
  <c r="I29" i="1"/>
  <c r="J29" i="1" s="1"/>
  <c r="D28" i="1"/>
  <c r="E28" i="1" s="1"/>
  <c r="I44" i="1" l="1"/>
  <c r="J44" i="1" s="1"/>
  <c r="H45" i="1"/>
  <c r="D29" i="1"/>
  <c r="E29" i="1" s="1"/>
  <c r="I30" i="1"/>
  <c r="J30" i="1" s="1"/>
  <c r="I45" i="1" l="1"/>
  <c r="J45" i="1" s="1"/>
  <c r="H46" i="1"/>
  <c r="D30" i="1"/>
  <c r="E30" i="1" s="1"/>
  <c r="I31" i="1"/>
  <c r="J31" i="1" s="1"/>
  <c r="I46" i="1" l="1"/>
  <c r="J46" i="1" s="1"/>
  <c r="H47" i="1"/>
  <c r="D31" i="1"/>
  <c r="E31" i="1" s="1"/>
  <c r="I32" i="1"/>
  <c r="J32" i="1" s="1"/>
  <c r="H48" i="1" l="1"/>
  <c r="I47" i="1"/>
  <c r="J47" i="1" s="1"/>
  <c r="I33" i="1"/>
  <c r="J33" i="1" s="1"/>
  <c r="D32" i="1"/>
  <c r="E32" i="1" s="1"/>
  <c r="H49" i="1" l="1"/>
  <c r="I48" i="1"/>
  <c r="J48" i="1" s="1"/>
  <c r="D33" i="1"/>
  <c r="E33" i="1" s="1"/>
  <c r="I34" i="1"/>
  <c r="J34" i="1" s="1"/>
  <c r="I49" i="1" l="1"/>
  <c r="J49" i="1" s="1"/>
  <c r="H50" i="1"/>
  <c r="D34" i="1"/>
  <c r="E34" i="1" s="1"/>
  <c r="I35" i="1"/>
  <c r="J35" i="1" s="1"/>
  <c r="H51" i="1" l="1"/>
  <c r="I50" i="1"/>
  <c r="J50" i="1" s="1"/>
  <c r="I36" i="1"/>
  <c r="J36" i="1" s="1"/>
  <c r="D35" i="1"/>
  <c r="E35" i="1" s="1"/>
  <c r="H52" i="1" l="1"/>
  <c r="I51" i="1"/>
  <c r="J51" i="1" s="1"/>
  <c r="D36" i="1"/>
  <c r="E36" i="1" s="1"/>
  <c r="I37" i="1"/>
  <c r="J37" i="1" s="1"/>
  <c r="I52" i="1" l="1"/>
  <c r="J52" i="1" s="1"/>
  <c r="H53" i="1"/>
  <c r="I39" i="1"/>
  <c r="J39" i="1" s="1"/>
  <c r="I38" i="1"/>
  <c r="J38" i="1" s="1"/>
  <c r="D37" i="1"/>
  <c r="E37" i="1" s="1"/>
  <c r="I53" i="1" l="1"/>
  <c r="J53" i="1" s="1"/>
  <c r="H54" i="1"/>
  <c r="D38" i="1"/>
  <c r="E38" i="1" s="1"/>
  <c r="H55" i="1" l="1"/>
  <c r="I54" i="1"/>
  <c r="J54" i="1" s="1"/>
  <c r="H56" i="1" l="1"/>
  <c r="I55" i="1"/>
  <c r="J55" i="1" s="1"/>
  <c r="I56" i="1" l="1"/>
  <c r="J56" i="1" s="1"/>
  <c r="H57" i="1"/>
  <c r="I57" i="1" l="1"/>
  <c r="J57" i="1" s="1"/>
  <c r="H58" i="1"/>
  <c r="I58" i="1" l="1"/>
  <c r="J58" i="1" s="1"/>
  <c r="H59" i="1"/>
  <c r="H60" i="1" l="1"/>
  <c r="I59" i="1"/>
  <c r="J59" i="1" s="1"/>
  <c r="H61" i="1" l="1"/>
  <c r="I60" i="1"/>
  <c r="J60" i="1" s="1"/>
  <c r="I61" i="1" l="1"/>
  <c r="J61" i="1" s="1"/>
  <c r="H62" i="1"/>
  <c r="I62" i="1" l="1"/>
  <c r="J62" i="1" s="1"/>
  <c r="H63" i="1"/>
  <c r="I63" i="1" l="1"/>
  <c r="J63" i="1" s="1"/>
  <c r="H64" i="1"/>
  <c r="I64" i="1" l="1"/>
  <c r="J64" i="1" s="1"/>
  <c r="H65" i="1"/>
  <c r="H66" i="1" l="1"/>
  <c r="I65" i="1"/>
  <c r="J65" i="1" s="1"/>
  <c r="I66" i="1" l="1"/>
  <c r="J66" i="1" s="1"/>
  <c r="H67" i="1"/>
  <c r="H68" i="1" l="1"/>
  <c r="I67" i="1"/>
  <c r="J67" i="1" s="1"/>
  <c r="H69" i="1" l="1"/>
  <c r="I69" i="1" s="1"/>
  <c r="J69" i="1" s="1"/>
  <c r="I68" i="1"/>
  <c r="J68" i="1" s="1"/>
  <c r="B3" i="1" l="1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</calcChain>
</file>

<file path=xl/sharedStrings.xml><?xml version="1.0" encoding="utf-8"?>
<sst xmlns="http://schemas.openxmlformats.org/spreadsheetml/2006/main" count="135" uniqueCount="96">
  <si>
    <t>MWh thermal</t>
  </si>
  <si>
    <t>electrolyser efficiency</t>
  </si>
  <si>
    <t>MW electric</t>
  </si>
  <si>
    <t>maximum Demand</t>
  </si>
  <si>
    <t>maximum Electrolyser rated power</t>
  </si>
  <si>
    <t>Hydrogen tank storage</t>
  </si>
  <si>
    <t>Volume inside</t>
  </si>
  <si>
    <t>Max pressure</t>
  </si>
  <si>
    <t>Temperature</t>
  </si>
  <si>
    <t>Source/link</t>
  </si>
  <si>
    <t>Model 1</t>
  </si>
  <si>
    <t>Model 2</t>
  </si>
  <si>
    <t>Electrolyser</t>
  </si>
  <si>
    <t>UHI</t>
  </si>
  <si>
    <t>Rated power [kW]</t>
  </si>
  <si>
    <t>Inventary [kg H2]</t>
  </si>
  <si>
    <t>Pressure [bar]</t>
  </si>
  <si>
    <t>--&gt; power rate pressure = 30 bar (PEM)</t>
  </si>
  <si>
    <t>Model 3</t>
  </si>
  <si>
    <t>30 bar</t>
  </si>
  <si>
    <t>https://www.hyfindr.com/es/shop/productos/hidrogeno-tipo-4-cilindros-700-bar-400l</t>
  </si>
  <si>
    <t>700 bar</t>
  </si>
  <si>
    <t>Weight H2</t>
  </si>
  <si>
    <t>400 L</t>
  </si>
  <si>
    <t>16 kg</t>
  </si>
  <si>
    <t>https://www.hyfindr.com/es/shop/productos/hidrogeno-tipo-4-cilindros-350-bar-196l</t>
  </si>
  <si>
    <t>350 bar</t>
  </si>
  <si>
    <t>4,7 kg</t>
  </si>
  <si>
    <t>196 L</t>
  </si>
  <si>
    <t>V [m3]</t>
  </si>
  <si>
    <t>T [K]</t>
  </si>
  <si>
    <t>R</t>
  </si>
  <si>
    <t>J/K/mol</t>
  </si>
  <si>
    <t>a</t>
  </si>
  <si>
    <t>m6*Pa/mol2</t>
  </si>
  <si>
    <t>b</t>
  </si>
  <si>
    <t>m3/mol</t>
  </si>
  <si>
    <t>kg H2/mol</t>
  </si>
  <si>
    <t>kg</t>
  </si>
  <si>
    <t>P [Pa]</t>
  </si>
  <si>
    <t>P [bar]</t>
  </si>
  <si>
    <t>Ideal gas: P[Pa]=n[mol]*R[J/k/mol*T[K]/V[m3]</t>
  </si>
  <si>
    <t>Real gas (van der Waals equation): P = R*T/(V/n-b)-a/(V/n)^2</t>
  </si>
  <si>
    <t>h2: a = 0,2476 L^2*bar/mol^2 = 0,02476 m^6*Pa/mol^2</t>
  </si>
  <si>
    <t>h2: b = 0,02661 L/mol = 0,00002661 m^3/mol</t>
  </si>
  <si>
    <t>operating range 10-90% of pressure?</t>
  </si>
  <si>
    <t>H2 tank (295,15 K; 196 L)</t>
  </si>
  <si>
    <t>H2 tank (295,15 K; 400 L)</t>
  </si>
  <si>
    <t>Reference Component</t>
  </si>
  <si>
    <t>Label</t>
  </si>
  <si>
    <t>LOC</t>
  </si>
  <si>
    <t>LOC description</t>
  </si>
  <si>
    <t>Frequency [event/year]</t>
  </si>
  <si>
    <t>Pressure vessel (storage)</t>
  </si>
  <si>
    <t>Tank</t>
  </si>
  <si>
    <t>10 mm leak</t>
  </si>
  <si>
    <t>Catastrophic failure</t>
  </si>
  <si>
    <t>Thresholds</t>
  </si>
  <si>
    <t>Flashfire</t>
  </si>
  <si>
    <t>1/2 LFL</t>
  </si>
  <si>
    <t>Jet Fire</t>
  </si>
  <si>
    <t>kW/m2</t>
  </si>
  <si>
    <t>Pool Fire</t>
  </si>
  <si>
    <t>Fireball</t>
  </si>
  <si>
    <t>VCE</t>
  </si>
  <si>
    <t>bar</t>
  </si>
  <si>
    <t>Credit factor</t>
  </si>
  <si>
    <t>Consequences (distances)</t>
  </si>
  <si>
    <t>IS-KPI</t>
  </si>
  <si>
    <t>Scenario</t>
  </si>
  <si>
    <t>Cf [event/yr]</t>
  </si>
  <si>
    <t>d FLASH FIRE [m]</t>
  </si>
  <si>
    <t>d JET FIRE [m]</t>
  </si>
  <si>
    <t>d FIREBALL [m]</t>
  </si>
  <si>
    <t>d VCE [m]</t>
  </si>
  <si>
    <t>general d [m]</t>
  </si>
  <si>
    <t>UHIj</t>
  </si>
  <si>
    <t>UHI [m2/yr] - Unit inherent Hazard Index</t>
  </si>
  <si>
    <t>Storage tank</t>
  </si>
  <si>
    <t>m (kg)</t>
  </si>
  <si>
    <t>P (bar)</t>
  </si>
  <si>
    <t>label</t>
  </si>
  <si>
    <t>P g [bar]</t>
  </si>
  <si>
    <t>Not reached at height of interest</t>
  </si>
  <si>
    <t>Continuous 10 min</t>
  </si>
  <si>
    <t>TNO Purple Book</t>
  </si>
  <si>
    <t>*not relevant for us</t>
  </si>
  <si>
    <t>H2 production [</t>
  </si>
  <si>
    <t>thermal load fixed and cover the thermal load with full H2 with an efficiency of 50%</t>
  </si>
  <si>
    <t>mass [kg]</t>
  </si>
  <si>
    <t>UHI [m2/yr]</t>
  </si>
  <si>
    <t xml:space="preserve">mass </t>
  </si>
  <si>
    <t>max</t>
  </si>
  <si>
    <t>min</t>
  </si>
  <si>
    <t>SOC [%]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</si>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</sst>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E+00"/>
    <numFmt numFmtId="165" formatCode="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strike/>
      <sz val="11"/>
      <color rgb="FF00B05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82">
    <xf numFmtId="0" fontId="0" fillId="0" borderId="0" xfId="0"/>
    <xf numFmtId="9" fontId="0" fillId="0" borderId="0" xfId="1" applyFont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0" xfId="0" applyFill="1"/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0" fontId="0" fillId="3" borderId="1" xfId="0" applyFill="1" applyBorder="1"/>
    <xf numFmtId="0" fontId="0" fillId="3" borderId="3" xfId="0" applyFill="1" applyBorder="1"/>
    <xf numFmtId="0" fontId="0" fillId="0" borderId="0" xfId="0" quotePrefix="1"/>
    <xf numFmtId="0" fontId="4" fillId="0" borderId="5" xfId="2" applyBorder="1"/>
    <xf numFmtId="0" fontId="5" fillId="0" borderId="0" xfId="0" applyFont="1"/>
    <xf numFmtId="1" fontId="0" fillId="0" borderId="0" xfId="0" applyNumberFormat="1"/>
    <xf numFmtId="2" fontId="0" fillId="0" borderId="0" xfId="0" applyNumberFormat="1"/>
    <xf numFmtId="1" fontId="5" fillId="0" borderId="0" xfId="0" applyNumberFormat="1" applyFont="1"/>
    <xf numFmtId="0" fontId="6" fillId="0" borderId="0" xfId="0" applyFont="1"/>
    <xf numFmtId="1" fontId="7" fillId="0" borderId="0" xfId="0" applyNumberFormat="1" applyFont="1"/>
    <xf numFmtId="1" fontId="8" fillId="0" borderId="0" xfId="0" applyNumberFormat="1" applyFont="1"/>
    <xf numFmtId="0" fontId="4" fillId="0" borderId="8" xfId="2" applyBorder="1"/>
    <xf numFmtId="0" fontId="0" fillId="3" borderId="2" xfId="0" applyFill="1" applyBorder="1"/>
    <xf numFmtId="2" fontId="0" fillId="0" borderId="4" xfId="0" applyNumberFormat="1" applyBorder="1"/>
    <xf numFmtId="2" fontId="0" fillId="0" borderId="6" xfId="0" applyNumberFormat="1" applyBorder="1"/>
    <xf numFmtId="2" fontId="0" fillId="0" borderId="7" xfId="0" applyNumberFormat="1" applyBorder="1"/>
    <xf numFmtId="0" fontId="2" fillId="0" borderId="0" xfId="3" applyFont="1"/>
    <xf numFmtId="0" fontId="1" fillId="0" borderId="0" xfId="3"/>
    <xf numFmtId="11" fontId="1" fillId="0" borderId="0" xfId="3" applyNumberFormat="1"/>
    <xf numFmtId="11" fontId="0" fillId="0" borderId="0" xfId="0" applyNumberFormat="1"/>
    <xf numFmtId="0" fontId="2" fillId="4" borderId="0" xfId="0" applyFont="1" applyFill="1"/>
    <xf numFmtId="0" fontId="0" fillId="4" borderId="0" xfId="0" applyFill="1"/>
    <xf numFmtId="0" fontId="0" fillId="4" borderId="0" xfId="0" quotePrefix="1" applyFill="1"/>
    <xf numFmtId="0" fontId="2" fillId="0" borderId="0" xfId="0" applyFont="1" applyAlignment="1">
      <alignment horizontal="center"/>
    </xf>
    <xf numFmtId="0" fontId="0" fillId="5" borderId="0" xfId="0" applyFill="1" applyAlignment="1">
      <alignment horizontal="right"/>
    </xf>
    <xf numFmtId="0" fontId="0" fillId="5" borderId="0" xfId="0" quotePrefix="1" applyFill="1" applyAlignment="1">
      <alignment horizontal="right"/>
    </xf>
    <xf numFmtId="164" fontId="0" fillId="0" borderId="0" xfId="0" applyNumberFormat="1"/>
    <xf numFmtId="0" fontId="0" fillId="5" borderId="0" xfId="0" applyFill="1"/>
    <xf numFmtId="11" fontId="8" fillId="6" borderId="0" xfId="0" applyNumberFormat="1" applyFont="1" applyFill="1"/>
    <xf numFmtId="11" fontId="9" fillId="0" borderId="0" xfId="0" applyNumberFormat="1" applyFont="1" applyAlignment="1">
      <alignment horizontal="center"/>
    </xf>
    <xf numFmtId="11" fontId="9" fillId="0" borderId="0" xfId="0" applyNumberFormat="1" applyFont="1"/>
    <xf numFmtId="11" fontId="8" fillId="0" borderId="0" xfId="0" applyNumberFormat="1" applyFont="1"/>
    <xf numFmtId="11" fontId="0" fillId="0" borderId="5" xfId="0" applyNumberFormat="1" applyBorder="1"/>
    <xf numFmtId="11" fontId="0" fillId="0" borderId="8" xfId="0" applyNumberFormat="1" applyBorder="1"/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5" borderId="11" xfId="0" quotePrefix="1" applyFill="1" applyBorder="1" applyAlignment="1">
      <alignment horizontal="right"/>
    </xf>
    <xf numFmtId="0" fontId="0" fillId="5" borderId="12" xfId="0" applyFill="1" applyBorder="1"/>
    <xf numFmtId="0" fontId="0" fillId="5" borderId="13" xfId="0" quotePrefix="1" applyFill="1" applyBorder="1" applyAlignment="1">
      <alignment horizontal="right"/>
    </xf>
    <xf numFmtId="0" fontId="0" fillId="5" borderId="14" xfId="0" applyFill="1" applyBorder="1"/>
    <xf numFmtId="0" fontId="0" fillId="5" borderId="15" xfId="0" applyFill="1" applyBorder="1"/>
    <xf numFmtId="0" fontId="0" fillId="5" borderId="15" xfId="0" applyFill="1" applyBorder="1" applyAlignment="1">
      <alignment horizontal="right"/>
    </xf>
    <xf numFmtId="0" fontId="0" fillId="5" borderId="16" xfId="0" quotePrefix="1" applyFill="1" applyBorder="1" applyAlignment="1">
      <alignment horizontal="right"/>
    </xf>
    <xf numFmtId="0" fontId="0" fillId="2" borderId="4" xfId="0" applyFill="1" applyBorder="1"/>
    <xf numFmtId="0" fontId="0" fillId="0" borderId="17" xfId="0" applyBorder="1"/>
    <xf numFmtId="165" fontId="0" fillId="0" borderId="18" xfId="0" applyNumberFormat="1" applyBorder="1"/>
    <xf numFmtId="165" fontId="0" fillId="7" borderId="19" xfId="0" applyNumberFormat="1" applyFill="1" applyBorder="1"/>
    <xf numFmtId="165" fontId="0" fillId="0" borderId="20" xfId="0" applyNumberFormat="1" applyBorder="1"/>
    <xf numFmtId="165" fontId="0" fillId="7" borderId="21" xfId="0" applyNumberFormat="1" applyFill="1" applyBorder="1"/>
    <xf numFmtId="165" fontId="0" fillId="0" borderId="22" xfId="0" applyNumberFormat="1" applyBorder="1"/>
    <xf numFmtId="165" fontId="0" fillId="7" borderId="23" xfId="0" applyNumberFormat="1" applyFill="1" applyBorder="1"/>
    <xf numFmtId="165" fontId="0" fillId="8" borderId="19" xfId="0" applyNumberFormat="1" applyFill="1" applyBorder="1"/>
    <xf numFmtId="165" fontId="0" fillId="8" borderId="21" xfId="0" applyNumberFormat="1" applyFill="1" applyBorder="1"/>
    <xf numFmtId="165" fontId="0" fillId="8" borderId="23" xfId="0" applyNumberFormat="1" applyFill="1" applyBorder="1"/>
    <xf numFmtId="165" fontId="0" fillId="9" borderId="19" xfId="0" applyNumberFormat="1" applyFill="1" applyBorder="1"/>
    <xf numFmtId="165" fontId="0" fillId="9" borderId="21" xfId="0" applyNumberFormat="1" applyFill="1" applyBorder="1"/>
    <xf numFmtId="165" fontId="0" fillId="9" borderId="23" xfId="0" applyNumberFormat="1" applyFill="1" applyBorder="1"/>
    <xf numFmtId="165" fontId="0" fillId="10" borderId="19" xfId="0" applyNumberFormat="1" applyFill="1" applyBorder="1"/>
    <xf numFmtId="165" fontId="0" fillId="10" borderId="21" xfId="0" applyNumberFormat="1" applyFill="1" applyBorder="1"/>
    <xf numFmtId="165" fontId="0" fillId="10" borderId="23" xfId="0" applyNumberFormat="1" applyFill="1" applyBorder="1"/>
    <xf numFmtId="0" fontId="2" fillId="0" borderId="24" xfId="0" applyFont="1" applyBorder="1"/>
    <xf numFmtId="0" fontId="2" fillId="0" borderId="25" xfId="0" applyFont="1" applyBorder="1"/>
    <xf numFmtId="165" fontId="0" fillId="11" borderId="19" xfId="0" applyNumberFormat="1" applyFill="1" applyBorder="1"/>
    <xf numFmtId="165" fontId="0" fillId="11" borderId="21" xfId="0" applyNumberFormat="1" applyFill="1" applyBorder="1"/>
    <xf numFmtId="165" fontId="0" fillId="11" borderId="23" xfId="0" applyNumberFormat="1" applyFill="1" applyBorder="1"/>
    <xf numFmtId="9" fontId="0" fillId="0" borderId="17" xfId="1" applyFont="1" applyBorder="1"/>
    <xf numFmtId="9" fontId="0" fillId="0" borderId="27" xfId="1" applyFont="1" applyBorder="1"/>
    <xf numFmtId="9" fontId="0" fillId="0" borderId="26" xfId="1" applyFont="1" applyBorder="1"/>
    <xf numFmtId="0" fontId="2" fillId="0" borderId="28" xfId="0" applyFont="1" applyBorder="1"/>
    <xf numFmtId="0" fontId="2" fillId="0" borderId="0" xfId="0" applyFont="1" applyAlignment="1">
      <alignment horizontal="center"/>
    </xf>
  </cellXfs>
  <cellStyles count="4">
    <cellStyle name="Hyperlink" xfId="2" builtinId="8"/>
    <cellStyle name="Normal" xfId="0" builtinId="0"/>
    <cellStyle name="Normal 4" xfId="3" xr:uid="{A05168DC-F9C6-443E-A166-EBF7AB669149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Results_Tank1!$M$3:$M$68</c:f>
              <c:numCache>
                <c:formatCode>0.00E+00</c:formatCode>
                <c:ptCount val="66"/>
                <c:pt idx="0">
                  <c:v>3.0187117746282452E-2</c:v>
                </c:pt>
                <c:pt idx="3">
                  <c:v>2.9985623854044803E-2</c:v>
                </c:pt>
                <c:pt idx="6">
                  <c:v>2.9626522735906251E-2</c:v>
                </c:pt>
                <c:pt idx="9">
                  <c:v>2.9249192925105055E-2</c:v>
                </c:pt>
                <c:pt idx="12">
                  <c:v>2.8467784469481446E-2</c:v>
                </c:pt>
                <c:pt idx="15">
                  <c:v>2.7504235469931203E-2</c:v>
                </c:pt>
                <c:pt idx="18">
                  <c:v>2.6431327407425001E-2</c:v>
                </c:pt>
                <c:pt idx="21">
                  <c:v>2.5183954319456053E-2</c:v>
                </c:pt>
                <c:pt idx="24">
                  <c:v>1.7112994172116255E-2</c:v>
                </c:pt>
                <c:pt idx="27">
                  <c:v>1.6868423172293454E-2</c:v>
                </c:pt>
                <c:pt idx="30">
                  <c:v>1.6529319370106252E-2</c:v>
                </c:pt>
                <c:pt idx="33">
                  <c:v>1.6150438832381247E-2</c:v>
                </c:pt>
                <c:pt idx="36">
                  <c:v>1.5718522949400002E-2</c:v>
                </c:pt>
                <c:pt idx="39">
                  <c:v>1.5228878117813201E-2</c:v>
                </c:pt>
                <c:pt idx="42">
                  <c:v>1.3918568484338451E-2</c:v>
                </c:pt>
                <c:pt idx="45">
                  <c:v>8.4924174521000019E-3</c:v>
                </c:pt>
                <c:pt idx="48">
                  <c:v>7.3587880995999999E-3</c:v>
                </c:pt>
                <c:pt idx="51">
                  <c:v>6.8555098759070501E-3</c:v>
                </c:pt>
                <c:pt idx="54">
                  <c:v>6.3987880480858E-3</c:v>
                </c:pt>
                <c:pt idx="57">
                  <c:v>3.5558527040617997E-3</c:v>
                </c:pt>
                <c:pt idx="60">
                  <c:v>2.0816616882282004E-3</c:v>
                </c:pt>
                <c:pt idx="6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C2-4974-B4AD-B8FE7D61C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782736"/>
        <c:axId val="126839136"/>
      </c:scatterChart>
      <c:valAx>
        <c:axId val="1892782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39136"/>
        <c:crosses val="autoZero"/>
        <c:crossBetween val="midCat"/>
      </c:valAx>
      <c:valAx>
        <c:axId val="12683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782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Results_Tank1!$M$1</c:f>
              <c:strCache>
                <c:ptCount val="1"/>
                <c:pt idx="0">
                  <c:v>IS-KPI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Results_Tank1!$B$2:$B$68</c:f>
              <c:strCache>
                <c:ptCount val="65"/>
                <c:pt idx="0">
                  <c:v>mass [kg]</c:v>
                </c:pt>
                <c:pt idx="1">
                  <c:v>4.26</c:v>
                </c:pt>
                <c:pt idx="4">
                  <c:v>4.06</c:v>
                </c:pt>
                <c:pt idx="7">
                  <c:v>3.86</c:v>
                </c:pt>
                <c:pt idx="10">
                  <c:v>3.66</c:v>
                </c:pt>
                <c:pt idx="13">
                  <c:v>3.46</c:v>
                </c:pt>
                <c:pt idx="16">
                  <c:v>3.26</c:v>
                </c:pt>
                <c:pt idx="19">
                  <c:v>3.06</c:v>
                </c:pt>
                <c:pt idx="22">
                  <c:v>2.86</c:v>
                </c:pt>
                <c:pt idx="25">
                  <c:v>2.66</c:v>
                </c:pt>
                <c:pt idx="28">
                  <c:v>2.46</c:v>
                </c:pt>
                <c:pt idx="31">
                  <c:v>2.26</c:v>
                </c:pt>
                <c:pt idx="34">
                  <c:v>2.06</c:v>
                </c:pt>
                <c:pt idx="37">
                  <c:v>1.86</c:v>
                </c:pt>
                <c:pt idx="40">
                  <c:v>1.66</c:v>
                </c:pt>
                <c:pt idx="43">
                  <c:v>1.46</c:v>
                </c:pt>
                <c:pt idx="46">
                  <c:v>1.26</c:v>
                </c:pt>
                <c:pt idx="49">
                  <c:v>1.06</c:v>
                </c:pt>
                <c:pt idx="52">
                  <c:v>0.86</c:v>
                </c:pt>
                <c:pt idx="55">
                  <c:v>0.66</c:v>
                </c:pt>
                <c:pt idx="58">
                  <c:v>0.46</c:v>
                </c:pt>
                <c:pt idx="61">
                  <c:v>0.26</c:v>
                </c:pt>
                <c:pt idx="64">
                  <c:v>0.06</c:v>
                </c:pt>
              </c:strCache>
            </c:strRef>
          </c:cat>
          <c:val>
            <c:numRef>
              <c:f>Results_Tank1!$M$2:$M$68</c:f>
              <c:numCache>
                <c:formatCode>0.00E+00</c:formatCode>
                <c:ptCount val="67"/>
                <c:pt idx="0">
                  <c:v>0</c:v>
                </c:pt>
                <c:pt idx="1">
                  <c:v>3.0187117746282452E-2</c:v>
                </c:pt>
                <c:pt idx="4">
                  <c:v>2.9985623854044803E-2</c:v>
                </c:pt>
                <c:pt idx="7">
                  <c:v>2.9626522735906251E-2</c:v>
                </c:pt>
                <c:pt idx="10">
                  <c:v>2.9249192925105055E-2</c:v>
                </c:pt>
                <c:pt idx="13">
                  <c:v>2.8467784469481446E-2</c:v>
                </c:pt>
                <c:pt idx="16">
                  <c:v>2.7504235469931203E-2</c:v>
                </c:pt>
                <c:pt idx="19">
                  <c:v>2.6431327407425001E-2</c:v>
                </c:pt>
                <c:pt idx="22">
                  <c:v>2.5183954319456053E-2</c:v>
                </c:pt>
                <c:pt idx="25">
                  <c:v>1.7112994172116255E-2</c:v>
                </c:pt>
                <c:pt idx="28">
                  <c:v>1.6868423172293454E-2</c:v>
                </c:pt>
                <c:pt idx="31">
                  <c:v>1.6529319370106252E-2</c:v>
                </c:pt>
                <c:pt idx="34">
                  <c:v>1.6150438832381247E-2</c:v>
                </c:pt>
                <c:pt idx="37">
                  <c:v>1.5718522949400002E-2</c:v>
                </c:pt>
                <c:pt idx="40">
                  <c:v>1.5228878117813201E-2</c:v>
                </c:pt>
                <c:pt idx="43">
                  <c:v>1.3918568484338451E-2</c:v>
                </c:pt>
                <c:pt idx="46">
                  <c:v>8.4924174521000019E-3</c:v>
                </c:pt>
                <c:pt idx="49">
                  <c:v>7.3587880995999999E-3</c:v>
                </c:pt>
                <c:pt idx="52">
                  <c:v>6.8555098759070501E-3</c:v>
                </c:pt>
                <c:pt idx="55">
                  <c:v>6.3987880480858E-3</c:v>
                </c:pt>
                <c:pt idx="58">
                  <c:v>3.5558527040617997E-3</c:v>
                </c:pt>
                <c:pt idx="61">
                  <c:v>2.0816616882282004E-3</c:v>
                </c:pt>
                <c:pt idx="6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3A-497F-BBE9-8237B0D33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9835487"/>
        <c:axId val="1406365583"/>
      </c:lineChart>
      <c:catAx>
        <c:axId val="1399835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365583"/>
        <c:crosses val="autoZero"/>
        <c:auto val="1"/>
        <c:lblAlgn val="ctr"/>
        <c:lblOffset val="100"/>
        <c:noMultiLvlLbl val="0"/>
      </c:catAx>
      <c:valAx>
        <c:axId val="140636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835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Results_Tank2!$M$3:$M$140</c:f>
              <c:numCache>
                <c:formatCode>0.00E+00</c:formatCode>
                <c:ptCount val="138"/>
                <c:pt idx="0">
                  <c:v>6.557785779571218E-2</c:v>
                </c:pt>
                <c:pt idx="3">
                  <c:v>6.5153902131444216E-2</c:v>
                </c:pt>
                <c:pt idx="6">
                  <c:v>6.4718061684499048E-2</c:v>
                </c:pt>
                <c:pt idx="9">
                  <c:v>6.4285473921048816E-2</c:v>
                </c:pt>
                <c:pt idx="12">
                  <c:v>6.3820315126740204E-2</c:v>
                </c:pt>
                <c:pt idx="15">
                  <c:v>6.3345563015772197E-2</c:v>
                </c:pt>
                <c:pt idx="18">
                  <c:v>6.2862343972395068E-2</c:v>
                </c:pt>
                <c:pt idx="21">
                  <c:v>6.2371611544754443E-2</c:v>
                </c:pt>
                <c:pt idx="24">
                  <c:v>6.1411671340216259E-2</c:v>
                </c:pt>
                <c:pt idx="27">
                  <c:v>6.0094039329464465E-2</c:v>
                </c:pt>
                <c:pt idx="30">
                  <c:v>5.8611731896945012E-2</c:v>
                </c:pt>
                <c:pt idx="33">
                  <c:v>5.7102396955996046E-2</c:v>
                </c:pt>
                <c:pt idx="36">
                  <c:v>5.534797888908001E-2</c:v>
                </c:pt>
                <c:pt idx="39">
                  <c:v>4.4804503538248046E-2</c:v>
                </c:pt>
                <c:pt idx="42">
                  <c:v>4.4409251352144047E-2</c:v>
                </c:pt>
                <c:pt idx="45">
                  <c:v>4.4004454433992202E-2</c:v>
                </c:pt>
                <c:pt idx="48">
                  <c:v>4.3593238097373817E-2</c:v>
                </c:pt>
                <c:pt idx="51">
                  <c:v>4.3162174163778801E-2</c:v>
                </c:pt>
                <c:pt idx="54">
                  <c:v>4.2706910973843042E-2</c:v>
                </c:pt>
                <c:pt idx="57">
                  <c:v>4.2270862719996201E-2</c:v>
                </c:pt>
                <c:pt idx="60">
                  <c:v>4.1830627046004994E-2</c:v>
                </c:pt>
                <c:pt idx="63">
                  <c:v>4.1383334280108208E-2</c:v>
                </c:pt>
                <c:pt idx="66">
                  <c:v>4.0654397138199211E-2</c:v>
                </c:pt>
                <c:pt idx="69">
                  <c:v>3.8640900999798056E-2</c:v>
                </c:pt>
                <c:pt idx="72">
                  <c:v>3.6013346879469804E-2</c:v>
                </c:pt>
                <c:pt idx="75">
                  <c:v>2.7923916569745053E-2</c:v>
                </c:pt>
                <c:pt idx="78">
                  <c:v>2.7529563275334446E-2</c:v>
                </c:pt>
                <c:pt idx="81">
                  <c:v>2.7117558524563195E-2</c:v>
                </c:pt>
                <c:pt idx="84">
                  <c:v>2.6691205473764204E-2</c:v>
                </c:pt>
                <c:pt idx="87">
                  <c:v>2.6241698396305205E-2</c:v>
                </c:pt>
                <c:pt idx="90">
                  <c:v>2.5807259097699452E-2</c:v>
                </c:pt>
                <c:pt idx="93">
                  <c:v>2.5371123854646453E-2</c:v>
                </c:pt>
                <c:pt idx="96">
                  <c:v>2.4261130128114053E-2</c:v>
                </c:pt>
                <c:pt idx="99">
                  <c:v>1.564436204058E-2</c:v>
                </c:pt>
                <c:pt idx="102">
                  <c:v>1.5281589779534801E-2</c:v>
                </c:pt>
                <c:pt idx="105">
                  <c:v>1.4897389050885E-2</c:v>
                </c:pt>
                <c:pt idx="108">
                  <c:v>1.4493487545741052E-2</c:v>
                </c:pt>
                <c:pt idx="111">
                  <c:v>1.408526947694105E-2</c:v>
                </c:pt>
                <c:pt idx="114">
                  <c:v>1.366063884151005E-2</c:v>
                </c:pt>
                <c:pt idx="117">
                  <c:v>7.9551379888412512E-3</c:v>
                </c:pt>
                <c:pt idx="120">
                  <c:v>6.8386042385862504E-3</c:v>
                </c:pt>
                <c:pt idx="123">
                  <c:v>6.3739366591692012E-3</c:v>
                </c:pt>
                <c:pt idx="126">
                  <c:v>6.0209782856854516E-3</c:v>
                </c:pt>
                <c:pt idx="129">
                  <c:v>3.4349319612050002E-3</c:v>
                </c:pt>
                <c:pt idx="132">
                  <c:v>2.3872548371312004E-3</c:v>
                </c:pt>
                <c:pt idx="135">
                  <c:v>6.7946893066679994E-4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60-40A4-B280-FF5CAEAF0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782736"/>
        <c:axId val="126839136"/>
      </c:scatterChart>
      <c:valAx>
        <c:axId val="1892782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39136"/>
        <c:crosses val="autoZero"/>
        <c:crossBetween val="midCat"/>
      </c:valAx>
      <c:valAx>
        <c:axId val="12683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782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4.7 kg STORAGE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plot!$C$1</c:f>
              <c:strCache>
                <c:ptCount val="1"/>
                <c:pt idx="0">
                  <c:v>UHI [m2/yr]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plot!$A$2:$A$22</c:f>
              <c:numCache>
                <c:formatCode>0.0000</c:formatCode>
                <c:ptCount val="21"/>
                <c:pt idx="0">
                  <c:v>4.064116308218197</c:v>
                </c:pt>
                <c:pt idx="1">
                  <c:v>3.8641163082181968</c:v>
                </c:pt>
                <c:pt idx="2">
                  <c:v>3.6641163082181967</c:v>
                </c:pt>
                <c:pt idx="3">
                  <c:v>3.4641163082181965</c:v>
                </c:pt>
                <c:pt idx="4">
                  <c:v>3.2641163082181963</c:v>
                </c:pt>
                <c:pt idx="5">
                  <c:v>3.0641163082181961</c:v>
                </c:pt>
                <c:pt idx="6">
                  <c:v>2.864116308218196</c:v>
                </c:pt>
                <c:pt idx="7">
                  <c:v>2.6641163082181958</c:v>
                </c:pt>
                <c:pt idx="8">
                  <c:v>2.4641163082181956</c:v>
                </c:pt>
                <c:pt idx="9">
                  <c:v>2.2641163082181954</c:v>
                </c:pt>
                <c:pt idx="10">
                  <c:v>2.0641163082181953</c:v>
                </c:pt>
                <c:pt idx="11">
                  <c:v>1.8641163082181953</c:v>
                </c:pt>
                <c:pt idx="12">
                  <c:v>1.6641163082181953</c:v>
                </c:pt>
                <c:pt idx="13">
                  <c:v>1.4641163082181954</c:v>
                </c:pt>
                <c:pt idx="14">
                  <c:v>1.2641163082181954</c:v>
                </c:pt>
                <c:pt idx="15">
                  <c:v>1.0641163082181955</c:v>
                </c:pt>
                <c:pt idx="16">
                  <c:v>0.86411630821819552</c:v>
                </c:pt>
                <c:pt idx="17">
                  <c:v>0.66411630821819556</c:v>
                </c:pt>
                <c:pt idx="18">
                  <c:v>0.46411630821819555</c:v>
                </c:pt>
                <c:pt idx="19">
                  <c:v>0.26411630821819554</c:v>
                </c:pt>
                <c:pt idx="20">
                  <c:v>6.4116308218195528E-2</c:v>
                </c:pt>
              </c:numCache>
            </c:numRef>
          </c:cat>
          <c:val>
            <c:numRef>
              <c:f>plot!$C$2:$C$22</c:f>
              <c:numCache>
                <c:formatCode>0.0000</c:formatCode>
                <c:ptCount val="21"/>
                <c:pt idx="0">
                  <c:v>2.9985623854044803E-2</c:v>
                </c:pt>
                <c:pt idx="1">
                  <c:v>2.9626522735906251E-2</c:v>
                </c:pt>
                <c:pt idx="2">
                  <c:v>2.9249192925105055E-2</c:v>
                </c:pt>
                <c:pt idx="3">
                  <c:v>2.8467784469481446E-2</c:v>
                </c:pt>
                <c:pt idx="4">
                  <c:v>2.7504235469931203E-2</c:v>
                </c:pt>
                <c:pt idx="5">
                  <c:v>2.6431327407425001E-2</c:v>
                </c:pt>
                <c:pt idx="6">
                  <c:v>2.5183954319456053E-2</c:v>
                </c:pt>
                <c:pt idx="7">
                  <c:v>1.7112994172116255E-2</c:v>
                </c:pt>
                <c:pt idx="8">
                  <c:v>1.6868423172293454E-2</c:v>
                </c:pt>
                <c:pt idx="9">
                  <c:v>1.6529319370106252E-2</c:v>
                </c:pt>
                <c:pt idx="10">
                  <c:v>1.6150438832381247E-2</c:v>
                </c:pt>
                <c:pt idx="11">
                  <c:v>1.5718522949400002E-2</c:v>
                </c:pt>
                <c:pt idx="12">
                  <c:v>1.5228878117813201E-2</c:v>
                </c:pt>
                <c:pt idx="13">
                  <c:v>1.3918568484338451E-2</c:v>
                </c:pt>
                <c:pt idx="14">
                  <c:v>8.4924174521000019E-3</c:v>
                </c:pt>
                <c:pt idx="15">
                  <c:v>7.3587880995999999E-3</c:v>
                </c:pt>
                <c:pt idx="16">
                  <c:v>6.8555098759070501E-3</c:v>
                </c:pt>
                <c:pt idx="17">
                  <c:v>6.3987880480858E-3</c:v>
                </c:pt>
                <c:pt idx="18">
                  <c:v>3.5558527040617997E-3</c:v>
                </c:pt>
                <c:pt idx="19">
                  <c:v>2.0816616882282004E-3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2C-46C1-A5EC-52F25CED1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0276111"/>
        <c:axId val="1393793807"/>
      </c:lineChart>
      <c:catAx>
        <c:axId val="13302761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mass [kg]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793807"/>
        <c:crosses val="autoZero"/>
        <c:auto val="1"/>
        <c:lblAlgn val="ctr"/>
        <c:lblOffset val="100"/>
        <c:noMultiLvlLbl val="0"/>
      </c:catAx>
      <c:valAx>
        <c:axId val="139379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UHI</a:t>
                </a:r>
                <a:r>
                  <a:rPr lang="en-US" baseline="0"/>
                  <a:t> [m2/yr]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276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16 kg STORAGE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plot!$S$1</c:f>
              <c:strCache>
                <c:ptCount val="1"/>
                <c:pt idx="0">
                  <c:v>UHI [m2/yr]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plot!$Q$2:$Q$46</c:f>
              <c:numCache>
                <c:formatCode>0.0000</c:formatCode>
                <c:ptCount val="45"/>
                <c:pt idx="0">
                  <c:v>13.326343056775016</c:v>
                </c:pt>
                <c:pt idx="1">
                  <c:v>13.026343056775016</c:v>
                </c:pt>
                <c:pt idx="2">
                  <c:v>12.726343056775015</c:v>
                </c:pt>
                <c:pt idx="3">
                  <c:v>12.426343056775014</c:v>
                </c:pt>
                <c:pt idx="4">
                  <c:v>12.126343056775013</c:v>
                </c:pt>
                <c:pt idx="5">
                  <c:v>11.826343056775013</c:v>
                </c:pt>
                <c:pt idx="6">
                  <c:v>11.526343056775012</c:v>
                </c:pt>
                <c:pt idx="7">
                  <c:v>11.226343056775011</c:v>
                </c:pt>
                <c:pt idx="8">
                  <c:v>10.926343056775011</c:v>
                </c:pt>
                <c:pt idx="9">
                  <c:v>10.62634305677501</c:v>
                </c:pt>
                <c:pt idx="10">
                  <c:v>10.326343056775009</c:v>
                </c:pt>
                <c:pt idx="11">
                  <c:v>10.026343056775008</c:v>
                </c:pt>
                <c:pt idx="12">
                  <c:v>9.7263430567750078</c:v>
                </c:pt>
                <c:pt idx="13">
                  <c:v>9.4263430567750071</c:v>
                </c:pt>
                <c:pt idx="14">
                  <c:v>9.1263430567750063</c:v>
                </c:pt>
                <c:pt idx="15">
                  <c:v>8.8263430567750056</c:v>
                </c:pt>
                <c:pt idx="16">
                  <c:v>8.5263430567750049</c:v>
                </c:pt>
                <c:pt idx="17">
                  <c:v>8.2263430567750042</c:v>
                </c:pt>
                <c:pt idx="18">
                  <c:v>7.9263430567750044</c:v>
                </c:pt>
                <c:pt idx="19">
                  <c:v>7.6263430567750046</c:v>
                </c:pt>
                <c:pt idx="20">
                  <c:v>7.3263430567750047</c:v>
                </c:pt>
                <c:pt idx="21">
                  <c:v>7.0263430567750049</c:v>
                </c:pt>
                <c:pt idx="22">
                  <c:v>6.7263430567750051</c:v>
                </c:pt>
                <c:pt idx="23">
                  <c:v>6.4263430567750053</c:v>
                </c:pt>
                <c:pt idx="24">
                  <c:v>6.1263430567750055</c:v>
                </c:pt>
                <c:pt idx="25">
                  <c:v>5.8263430567750056</c:v>
                </c:pt>
                <c:pt idx="26">
                  <c:v>5.5263430567750058</c:v>
                </c:pt>
                <c:pt idx="27">
                  <c:v>5.226343056775006</c:v>
                </c:pt>
                <c:pt idx="28">
                  <c:v>4.9263430567750062</c:v>
                </c:pt>
                <c:pt idx="29">
                  <c:v>4.6263430567750063</c:v>
                </c:pt>
                <c:pt idx="30">
                  <c:v>4.3263430567750065</c:v>
                </c:pt>
                <c:pt idx="31">
                  <c:v>4.0263430567750067</c:v>
                </c:pt>
                <c:pt idx="32">
                  <c:v>3.7263430567750069</c:v>
                </c:pt>
                <c:pt idx="33">
                  <c:v>3.4263430567750071</c:v>
                </c:pt>
                <c:pt idx="34">
                  <c:v>3.1263430567750072</c:v>
                </c:pt>
                <c:pt idx="35">
                  <c:v>2.8263430567750074</c:v>
                </c:pt>
                <c:pt idx="36">
                  <c:v>2.5263430567750076</c:v>
                </c:pt>
                <c:pt idx="37">
                  <c:v>2.2263430567750078</c:v>
                </c:pt>
                <c:pt idx="38">
                  <c:v>1.9263430567750077</c:v>
                </c:pt>
                <c:pt idx="39">
                  <c:v>1.6263430567750077</c:v>
                </c:pt>
                <c:pt idx="40">
                  <c:v>1.3263430567750076</c:v>
                </c:pt>
                <c:pt idx="41">
                  <c:v>1.0263430567750076</c:v>
                </c:pt>
                <c:pt idx="42">
                  <c:v>0.72634305677500755</c:v>
                </c:pt>
                <c:pt idx="43">
                  <c:v>0.42634305677500756</c:v>
                </c:pt>
                <c:pt idx="44">
                  <c:v>0.12634305677500757</c:v>
                </c:pt>
              </c:numCache>
            </c:numRef>
          </c:cat>
          <c:val>
            <c:numRef>
              <c:f>plot!$S$2:$S$46</c:f>
              <c:numCache>
                <c:formatCode>0.0000</c:formatCode>
                <c:ptCount val="45"/>
                <c:pt idx="0">
                  <c:v>6.5153902131444216E-2</c:v>
                </c:pt>
                <c:pt idx="1">
                  <c:v>6.4718061684499048E-2</c:v>
                </c:pt>
                <c:pt idx="2">
                  <c:v>6.4285473921048816E-2</c:v>
                </c:pt>
                <c:pt idx="3">
                  <c:v>6.3820315126740204E-2</c:v>
                </c:pt>
                <c:pt idx="4">
                  <c:v>6.3345563015772197E-2</c:v>
                </c:pt>
                <c:pt idx="5">
                  <c:v>6.2862343972395068E-2</c:v>
                </c:pt>
                <c:pt idx="6">
                  <c:v>6.2371611544754443E-2</c:v>
                </c:pt>
                <c:pt idx="7">
                  <c:v>6.1411671340216259E-2</c:v>
                </c:pt>
                <c:pt idx="8">
                  <c:v>6.0094039329464465E-2</c:v>
                </c:pt>
                <c:pt idx="9">
                  <c:v>5.8611731896945012E-2</c:v>
                </c:pt>
                <c:pt idx="10">
                  <c:v>5.7102396955996046E-2</c:v>
                </c:pt>
                <c:pt idx="11">
                  <c:v>5.534797888908001E-2</c:v>
                </c:pt>
                <c:pt idx="12">
                  <c:v>4.4804503538248046E-2</c:v>
                </c:pt>
                <c:pt idx="13">
                  <c:v>4.4409251352144047E-2</c:v>
                </c:pt>
                <c:pt idx="14">
                  <c:v>4.4004454433992202E-2</c:v>
                </c:pt>
                <c:pt idx="15">
                  <c:v>4.3593238097373817E-2</c:v>
                </c:pt>
                <c:pt idx="16">
                  <c:v>4.3162174163778801E-2</c:v>
                </c:pt>
                <c:pt idx="17">
                  <c:v>4.2706910973843042E-2</c:v>
                </c:pt>
                <c:pt idx="18">
                  <c:v>4.2270862719996201E-2</c:v>
                </c:pt>
                <c:pt idx="19">
                  <c:v>4.1830627046004994E-2</c:v>
                </c:pt>
                <c:pt idx="20">
                  <c:v>4.1383334280108208E-2</c:v>
                </c:pt>
                <c:pt idx="21">
                  <c:v>4.0654397138199211E-2</c:v>
                </c:pt>
                <c:pt idx="22">
                  <c:v>3.8640900999798056E-2</c:v>
                </c:pt>
                <c:pt idx="23">
                  <c:v>3.6013346879469804E-2</c:v>
                </c:pt>
                <c:pt idx="24">
                  <c:v>2.7923916569745053E-2</c:v>
                </c:pt>
                <c:pt idx="25">
                  <c:v>2.7529563275334446E-2</c:v>
                </c:pt>
                <c:pt idx="26">
                  <c:v>2.7117558524563195E-2</c:v>
                </c:pt>
                <c:pt idx="27">
                  <c:v>2.6691205473764204E-2</c:v>
                </c:pt>
                <c:pt idx="28">
                  <c:v>2.6241698396305205E-2</c:v>
                </c:pt>
                <c:pt idx="29">
                  <c:v>2.5807259097699452E-2</c:v>
                </c:pt>
                <c:pt idx="30">
                  <c:v>2.5371123854646453E-2</c:v>
                </c:pt>
                <c:pt idx="31">
                  <c:v>2.4261130128114053E-2</c:v>
                </c:pt>
                <c:pt idx="32">
                  <c:v>1.564436204058E-2</c:v>
                </c:pt>
                <c:pt idx="33">
                  <c:v>1.5281589779534801E-2</c:v>
                </c:pt>
                <c:pt idx="34">
                  <c:v>1.4897389050885E-2</c:v>
                </c:pt>
                <c:pt idx="35">
                  <c:v>1.4493487545741052E-2</c:v>
                </c:pt>
                <c:pt idx="36">
                  <c:v>1.408526947694105E-2</c:v>
                </c:pt>
                <c:pt idx="37">
                  <c:v>1.366063884151005E-2</c:v>
                </c:pt>
                <c:pt idx="38">
                  <c:v>7.9551379888412512E-3</c:v>
                </c:pt>
                <c:pt idx="39">
                  <c:v>6.8386042385862504E-3</c:v>
                </c:pt>
                <c:pt idx="40">
                  <c:v>6.3739366591692012E-3</c:v>
                </c:pt>
                <c:pt idx="41">
                  <c:v>6.0209782856854516E-3</c:v>
                </c:pt>
                <c:pt idx="42">
                  <c:v>3.4349319612050002E-3</c:v>
                </c:pt>
                <c:pt idx="43">
                  <c:v>2.3872548371312004E-3</c:v>
                </c:pt>
                <c:pt idx="44">
                  <c:v>6.7946893066679994E-4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A2-4376-AC60-EA23D2941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0777039"/>
        <c:axId val="1329219615"/>
      </c:lineChart>
      <c:catAx>
        <c:axId val="139077703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219615"/>
        <c:crosses val="autoZero"/>
        <c:auto val="1"/>
        <c:lblAlgn val="ctr"/>
        <c:lblOffset val="100"/>
        <c:noMultiLvlLbl val="0"/>
      </c:catAx>
      <c:valAx>
        <c:axId val="132921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0" i="0" baseline="0">
                    <a:effectLst/>
                  </a:rPr>
                  <a:t>UHI [m2/yr]</a:t>
                </a:r>
                <a:endParaRPr lang="en-US" sz="3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77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4.7 kg STORAGE (logarithmic)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plot!$C$1</c:f>
              <c:strCache>
                <c:ptCount val="1"/>
                <c:pt idx="0">
                  <c:v>UHI [m2/yr]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plot!$A$2:$A$39</c:f>
              <c:strCache>
                <c:ptCount val="25"/>
                <c:pt idx="0">
                  <c:v>4.0641</c:v>
                </c:pt>
                <c:pt idx="1">
                  <c:v>3.8641</c:v>
                </c:pt>
                <c:pt idx="2">
                  <c:v>3.6641</c:v>
                </c:pt>
                <c:pt idx="3">
                  <c:v>3.4641</c:v>
                </c:pt>
                <c:pt idx="4">
                  <c:v>3.2641</c:v>
                </c:pt>
                <c:pt idx="5">
                  <c:v>3.0641</c:v>
                </c:pt>
                <c:pt idx="6">
                  <c:v>2.8641</c:v>
                </c:pt>
                <c:pt idx="7">
                  <c:v>2.6641</c:v>
                </c:pt>
                <c:pt idx="8">
                  <c:v>2.4641</c:v>
                </c:pt>
                <c:pt idx="9">
                  <c:v>2.2641</c:v>
                </c:pt>
                <c:pt idx="10">
                  <c:v>2.0641</c:v>
                </c:pt>
                <c:pt idx="11">
                  <c:v>1.8641</c:v>
                </c:pt>
                <c:pt idx="12">
                  <c:v>1.6641</c:v>
                </c:pt>
                <c:pt idx="13">
                  <c:v>1.4641</c:v>
                </c:pt>
                <c:pt idx="14">
                  <c:v>1.2641</c:v>
                </c:pt>
                <c:pt idx="15">
                  <c:v>1.0641</c:v>
                </c:pt>
                <c:pt idx="16">
                  <c:v>0.8641</c:v>
                </c:pt>
                <c:pt idx="17">
                  <c:v>0.6641</c:v>
                </c:pt>
                <c:pt idx="18">
                  <c:v>0.4641</c:v>
                </c:pt>
                <c:pt idx="19">
                  <c:v>0.2641</c:v>
                </c:pt>
                <c:pt idx="20">
                  <c:v>0.0641</c:v>
                </c:pt>
                <c:pt idx="22">
                  <c:v>mass </c:v>
                </c:pt>
                <c:pt idx="23">
                  <c:v>max</c:v>
                </c:pt>
                <c:pt idx="24">
                  <c:v>min</c:v>
                </c:pt>
              </c:strCache>
            </c:strRef>
          </c:cat>
          <c:val>
            <c:numRef>
              <c:f>plot!$C$2:$C$22</c:f>
              <c:numCache>
                <c:formatCode>0.0000</c:formatCode>
                <c:ptCount val="21"/>
                <c:pt idx="0">
                  <c:v>2.9985623854044803E-2</c:v>
                </c:pt>
                <c:pt idx="1">
                  <c:v>2.9626522735906251E-2</c:v>
                </c:pt>
                <c:pt idx="2">
                  <c:v>2.9249192925105055E-2</c:v>
                </c:pt>
                <c:pt idx="3">
                  <c:v>2.8467784469481446E-2</c:v>
                </c:pt>
                <c:pt idx="4">
                  <c:v>2.7504235469931203E-2</c:v>
                </c:pt>
                <c:pt idx="5">
                  <c:v>2.6431327407425001E-2</c:v>
                </c:pt>
                <c:pt idx="6">
                  <c:v>2.5183954319456053E-2</c:v>
                </c:pt>
                <c:pt idx="7">
                  <c:v>1.7112994172116255E-2</c:v>
                </c:pt>
                <c:pt idx="8">
                  <c:v>1.6868423172293454E-2</c:v>
                </c:pt>
                <c:pt idx="9">
                  <c:v>1.6529319370106252E-2</c:v>
                </c:pt>
                <c:pt idx="10">
                  <c:v>1.6150438832381247E-2</c:v>
                </c:pt>
                <c:pt idx="11">
                  <c:v>1.5718522949400002E-2</c:v>
                </c:pt>
                <c:pt idx="12">
                  <c:v>1.5228878117813201E-2</c:v>
                </c:pt>
                <c:pt idx="13">
                  <c:v>1.3918568484338451E-2</c:v>
                </c:pt>
                <c:pt idx="14">
                  <c:v>8.4924174521000019E-3</c:v>
                </c:pt>
                <c:pt idx="15">
                  <c:v>7.3587880995999999E-3</c:v>
                </c:pt>
                <c:pt idx="16">
                  <c:v>6.8555098759070501E-3</c:v>
                </c:pt>
                <c:pt idx="17">
                  <c:v>6.3987880480858E-3</c:v>
                </c:pt>
                <c:pt idx="18">
                  <c:v>3.5558527040617997E-3</c:v>
                </c:pt>
                <c:pt idx="19">
                  <c:v>2.0816616882282004E-3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89-4C16-9F02-9C83A92B7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0276111"/>
        <c:axId val="1393793807"/>
      </c:lineChart>
      <c:catAx>
        <c:axId val="13302761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mass [kg]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793807"/>
        <c:crosses val="autoZero"/>
        <c:auto val="1"/>
        <c:lblAlgn val="ctr"/>
        <c:lblOffset val="100"/>
        <c:noMultiLvlLbl val="0"/>
      </c:catAx>
      <c:valAx>
        <c:axId val="139379380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UHI</a:t>
                </a:r>
                <a:r>
                  <a:rPr lang="en-US" baseline="0"/>
                  <a:t> [m2/yr]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276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16 kg STORAGE (logarithmic)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plot!$S$1</c:f>
              <c:strCache>
                <c:ptCount val="1"/>
                <c:pt idx="0">
                  <c:v>UHI [m2/yr]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plot!$Q$2:$Q$46</c:f>
              <c:numCache>
                <c:formatCode>0.0000</c:formatCode>
                <c:ptCount val="45"/>
                <c:pt idx="0">
                  <c:v>13.326343056775016</c:v>
                </c:pt>
                <c:pt idx="1">
                  <c:v>13.026343056775016</c:v>
                </c:pt>
                <c:pt idx="2">
                  <c:v>12.726343056775015</c:v>
                </c:pt>
                <c:pt idx="3">
                  <c:v>12.426343056775014</c:v>
                </c:pt>
                <c:pt idx="4">
                  <c:v>12.126343056775013</c:v>
                </c:pt>
                <c:pt idx="5">
                  <c:v>11.826343056775013</c:v>
                </c:pt>
                <c:pt idx="6">
                  <c:v>11.526343056775012</c:v>
                </c:pt>
                <c:pt idx="7">
                  <c:v>11.226343056775011</c:v>
                </c:pt>
                <c:pt idx="8">
                  <c:v>10.926343056775011</c:v>
                </c:pt>
                <c:pt idx="9">
                  <c:v>10.62634305677501</c:v>
                </c:pt>
                <c:pt idx="10">
                  <c:v>10.326343056775009</c:v>
                </c:pt>
                <c:pt idx="11">
                  <c:v>10.026343056775008</c:v>
                </c:pt>
                <c:pt idx="12">
                  <c:v>9.7263430567750078</c:v>
                </c:pt>
                <c:pt idx="13">
                  <c:v>9.4263430567750071</c:v>
                </c:pt>
                <c:pt idx="14">
                  <c:v>9.1263430567750063</c:v>
                </c:pt>
                <c:pt idx="15">
                  <c:v>8.8263430567750056</c:v>
                </c:pt>
                <c:pt idx="16">
                  <c:v>8.5263430567750049</c:v>
                </c:pt>
                <c:pt idx="17">
                  <c:v>8.2263430567750042</c:v>
                </c:pt>
                <c:pt idx="18">
                  <c:v>7.9263430567750044</c:v>
                </c:pt>
                <c:pt idx="19">
                  <c:v>7.6263430567750046</c:v>
                </c:pt>
                <c:pt idx="20">
                  <c:v>7.3263430567750047</c:v>
                </c:pt>
                <c:pt idx="21">
                  <c:v>7.0263430567750049</c:v>
                </c:pt>
                <c:pt idx="22">
                  <c:v>6.7263430567750051</c:v>
                </c:pt>
                <c:pt idx="23">
                  <c:v>6.4263430567750053</c:v>
                </c:pt>
                <c:pt idx="24">
                  <c:v>6.1263430567750055</c:v>
                </c:pt>
                <c:pt idx="25">
                  <c:v>5.8263430567750056</c:v>
                </c:pt>
                <c:pt idx="26">
                  <c:v>5.5263430567750058</c:v>
                </c:pt>
                <c:pt idx="27">
                  <c:v>5.226343056775006</c:v>
                </c:pt>
                <c:pt idx="28">
                  <c:v>4.9263430567750062</c:v>
                </c:pt>
                <c:pt idx="29">
                  <c:v>4.6263430567750063</c:v>
                </c:pt>
                <c:pt idx="30">
                  <c:v>4.3263430567750065</c:v>
                </c:pt>
                <c:pt idx="31">
                  <c:v>4.0263430567750067</c:v>
                </c:pt>
                <c:pt idx="32">
                  <c:v>3.7263430567750069</c:v>
                </c:pt>
                <c:pt idx="33">
                  <c:v>3.4263430567750071</c:v>
                </c:pt>
                <c:pt idx="34">
                  <c:v>3.1263430567750072</c:v>
                </c:pt>
                <c:pt idx="35">
                  <c:v>2.8263430567750074</c:v>
                </c:pt>
                <c:pt idx="36">
                  <c:v>2.5263430567750076</c:v>
                </c:pt>
                <c:pt idx="37">
                  <c:v>2.2263430567750078</c:v>
                </c:pt>
                <c:pt idx="38">
                  <c:v>1.9263430567750077</c:v>
                </c:pt>
                <c:pt idx="39">
                  <c:v>1.6263430567750077</c:v>
                </c:pt>
                <c:pt idx="40">
                  <c:v>1.3263430567750076</c:v>
                </c:pt>
                <c:pt idx="41">
                  <c:v>1.0263430567750076</c:v>
                </c:pt>
                <c:pt idx="42">
                  <c:v>0.72634305677500755</c:v>
                </c:pt>
                <c:pt idx="43">
                  <c:v>0.42634305677500756</c:v>
                </c:pt>
                <c:pt idx="44">
                  <c:v>0.12634305677500757</c:v>
                </c:pt>
              </c:numCache>
            </c:numRef>
          </c:cat>
          <c:val>
            <c:numRef>
              <c:f>plot!$S$2:$S$46</c:f>
              <c:numCache>
                <c:formatCode>0.0000</c:formatCode>
                <c:ptCount val="45"/>
                <c:pt idx="0">
                  <c:v>6.5153902131444216E-2</c:v>
                </c:pt>
                <c:pt idx="1">
                  <c:v>6.4718061684499048E-2</c:v>
                </c:pt>
                <c:pt idx="2">
                  <c:v>6.4285473921048816E-2</c:v>
                </c:pt>
                <c:pt idx="3">
                  <c:v>6.3820315126740204E-2</c:v>
                </c:pt>
                <c:pt idx="4">
                  <c:v>6.3345563015772197E-2</c:v>
                </c:pt>
                <c:pt idx="5">
                  <c:v>6.2862343972395068E-2</c:v>
                </c:pt>
                <c:pt idx="6">
                  <c:v>6.2371611544754443E-2</c:v>
                </c:pt>
                <c:pt idx="7">
                  <c:v>6.1411671340216259E-2</c:v>
                </c:pt>
                <c:pt idx="8">
                  <c:v>6.0094039329464465E-2</c:v>
                </c:pt>
                <c:pt idx="9">
                  <c:v>5.8611731896945012E-2</c:v>
                </c:pt>
                <c:pt idx="10">
                  <c:v>5.7102396955996046E-2</c:v>
                </c:pt>
                <c:pt idx="11">
                  <c:v>5.534797888908001E-2</c:v>
                </c:pt>
                <c:pt idx="12">
                  <c:v>4.4804503538248046E-2</c:v>
                </c:pt>
                <c:pt idx="13">
                  <c:v>4.4409251352144047E-2</c:v>
                </c:pt>
                <c:pt idx="14">
                  <c:v>4.4004454433992202E-2</c:v>
                </c:pt>
                <c:pt idx="15">
                  <c:v>4.3593238097373817E-2</c:v>
                </c:pt>
                <c:pt idx="16">
                  <c:v>4.3162174163778801E-2</c:v>
                </c:pt>
                <c:pt idx="17">
                  <c:v>4.2706910973843042E-2</c:v>
                </c:pt>
                <c:pt idx="18">
                  <c:v>4.2270862719996201E-2</c:v>
                </c:pt>
                <c:pt idx="19">
                  <c:v>4.1830627046004994E-2</c:v>
                </c:pt>
                <c:pt idx="20">
                  <c:v>4.1383334280108208E-2</c:v>
                </c:pt>
                <c:pt idx="21">
                  <c:v>4.0654397138199211E-2</c:v>
                </c:pt>
                <c:pt idx="22">
                  <c:v>3.8640900999798056E-2</c:v>
                </c:pt>
                <c:pt idx="23">
                  <c:v>3.6013346879469804E-2</c:v>
                </c:pt>
                <c:pt idx="24">
                  <c:v>2.7923916569745053E-2</c:v>
                </c:pt>
                <c:pt idx="25">
                  <c:v>2.7529563275334446E-2</c:v>
                </c:pt>
                <c:pt idx="26">
                  <c:v>2.7117558524563195E-2</c:v>
                </c:pt>
                <c:pt idx="27">
                  <c:v>2.6691205473764204E-2</c:v>
                </c:pt>
                <c:pt idx="28">
                  <c:v>2.6241698396305205E-2</c:v>
                </c:pt>
                <c:pt idx="29">
                  <c:v>2.5807259097699452E-2</c:v>
                </c:pt>
                <c:pt idx="30">
                  <c:v>2.5371123854646453E-2</c:v>
                </c:pt>
                <c:pt idx="31">
                  <c:v>2.4261130128114053E-2</c:v>
                </c:pt>
                <c:pt idx="32">
                  <c:v>1.564436204058E-2</c:v>
                </c:pt>
                <c:pt idx="33">
                  <c:v>1.5281589779534801E-2</c:v>
                </c:pt>
                <c:pt idx="34">
                  <c:v>1.4897389050885E-2</c:v>
                </c:pt>
                <c:pt idx="35">
                  <c:v>1.4493487545741052E-2</c:v>
                </c:pt>
                <c:pt idx="36">
                  <c:v>1.408526947694105E-2</c:v>
                </c:pt>
                <c:pt idx="37">
                  <c:v>1.366063884151005E-2</c:v>
                </c:pt>
                <c:pt idx="38">
                  <c:v>7.9551379888412512E-3</c:v>
                </c:pt>
                <c:pt idx="39">
                  <c:v>6.8386042385862504E-3</c:v>
                </c:pt>
                <c:pt idx="40">
                  <c:v>6.3739366591692012E-3</c:v>
                </c:pt>
                <c:pt idx="41">
                  <c:v>6.0209782856854516E-3</c:v>
                </c:pt>
                <c:pt idx="42">
                  <c:v>3.4349319612050002E-3</c:v>
                </c:pt>
                <c:pt idx="43">
                  <c:v>2.3872548371312004E-3</c:v>
                </c:pt>
                <c:pt idx="44">
                  <c:v>6.7946893066679994E-4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5E-4334-ABE7-DAD5F7337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0777039"/>
        <c:axId val="1329219615"/>
      </c:lineChart>
      <c:catAx>
        <c:axId val="139077703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219615"/>
        <c:crosses val="autoZero"/>
        <c:auto val="1"/>
        <c:lblAlgn val="ctr"/>
        <c:lblOffset val="100"/>
        <c:noMultiLvlLbl val="0"/>
      </c:catAx>
      <c:valAx>
        <c:axId val="132921961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baseline="0">
                    <a:effectLst/>
                  </a:rPr>
                  <a:t>UHI [m2/yr]</a:t>
                </a:r>
                <a:endParaRPr lang="en-US" sz="2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77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3.emf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254635</xdr:colOff>
      <xdr:row>0</xdr:row>
      <xdr:rowOff>159385</xdr:rowOff>
    </xdr:from>
    <xdr:to>
      <xdr:col>23</xdr:col>
      <xdr:colOff>102235</xdr:colOff>
      <xdr:row>10</xdr:row>
      <xdr:rowOff>64030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7644C4-47ED-4DAF-BB6B-726462AE4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79885" y="159385"/>
          <a:ext cx="7467600" cy="17143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304384</xdr:colOff>
      <xdr:row>31</xdr:row>
      <xdr:rowOff>104775</xdr:rowOff>
    </xdr:from>
    <xdr:to>
      <xdr:col>11</xdr:col>
      <xdr:colOff>173834</xdr:colOff>
      <xdr:row>52</xdr:row>
      <xdr:rowOff>39971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0BD7EE-82AB-0AD7-E103-CE15A9EE8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85734" y="5715000"/>
          <a:ext cx="7127500" cy="37356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373368</xdr:colOff>
      <xdr:row>3</xdr:row>
      <xdr:rowOff>112433</xdr:rowOff>
    </xdr:from>
    <xdr:to>
      <xdr:col>29</xdr:col>
      <xdr:colOff>226874</xdr:colOff>
      <xdr:row>17</xdr:row>
      <xdr:rowOff>159162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87D78C-01DF-2E1B-B1CF-82B908E804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4</xdr:row>
      <xdr:rowOff>0</xdr:rowOff>
    </xdr:from>
    <xdr:to>
      <xdr:col>21</xdr:col>
      <xdr:colOff>91440</xdr:colOff>
      <xdr:row>33</xdr:row>
      <xdr:rowOff>5783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4D5020-7AC9-C4C2-ABF1-7D0DD054E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0320" y="731520"/>
          <a:ext cx="3749040" cy="531939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21</xdr:col>
      <xdr:colOff>412750</xdr:colOff>
      <xdr:row>19</xdr:row>
      <xdr:rowOff>136524</xdr:rowOff>
    </xdr:from>
    <xdr:to>
      <xdr:col>29</xdr:col>
      <xdr:colOff>132043</xdr:colOff>
      <xdr:row>35</xdr:row>
      <xdr:rowOff>40900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9EF453-15FB-434C-B628-267FB940EE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323850</xdr:colOff>
      <xdr:row>2</xdr:row>
      <xdr:rowOff>36830</xdr:rowOff>
    </xdr:from>
    <xdr:to>
      <xdr:col>22</xdr:col>
      <xdr:colOff>212090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6E244C-5989-4486-AD3D-5F58E36344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279399</xdr:colOff>
      <xdr:row>3</xdr:row>
      <xdr:rowOff>173037</xdr:rowOff>
    </xdr:from>
    <xdr:to>
      <xdr:col>15</xdr:col>
      <xdr:colOff>3174</xdr:colOff>
      <xdr:row>21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111505-D030-4C31-8492-18798EFEE3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196849</xdr:colOff>
      <xdr:row>1</xdr:row>
      <xdr:rowOff>122237</xdr:rowOff>
    </xdr:from>
    <xdr:to>
      <xdr:col>29</xdr:col>
      <xdr:colOff>66674</xdr:colOff>
      <xdr:row>20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47BDB09-F07C-4B7D-9C64-DEF90004AA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295275</xdr:colOff>
      <xdr:row>25</xdr:row>
      <xdr:rowOff>0</xdr:rowOff>
    </xdr:from>
    <xdr:to>
      <xdr:col>15</xdr:col>
      <xdr:colOff>15875</xdr:colOff>
      <xdr:row>42</xdr:row>
      <xdr:rowOff>11113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9C473AB-07BE-4618-9780-C8A4F6A25B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276225</xdr:colOff>
      <xdr:row>24</xdr:row>
      <xdr:rowOff>152400</xdr:rowOff>
    </xdr:from>
    <xdr:to>
      <xdr:col>29</xdr:col>
      <xdr:colOff>149225</xdr:colOff>
      <xdr:row>43</xdr:row>
      <xdr:rowOff>141288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DEAB141-90C2-4CA6-B2D1-9443D9E7D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hyfindr.com/es/shop/productos/hidrogeno-tipo-4-cilindros-350-bar-196l" TargetMode="External"/><Relationship Id="rId1" Type="http://schemas.openxmlformats.org/officeDocument/2006/relationships/hyperlink" Target="https://www.hyfindr.com/es/shop/productos/hidrogeno-tipo-4-cilindros-700-bar-400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404AB-A7E3-49B6-AD76-229E0A4C152E}">
  <dimension ref="A1:J70"/>
  <sheetViews>
    <sheetView topLeftCell="A32" workbookViewId="0">
      <selection activeCell="C24" sqref="C24"/>
    </sheetView>
  </sheetViews>
  <sheetFormatPr defaultColWidth="10.90625" defaultRowHeight="14.5" x14ac:dyDescent="0.35"/>
  <cols>
    <col min="1" max="1" width="29.90625" bestFit="1" customWidth="1"/>
    <col min="3" max="3" width="12.90625" bestFit="1" customWidth="1"/>
    <col min="4" max="4" width="12.08984375" bestFit="1" customWidth="1"/>
    <col min="5" max="5" width="11.90625" bestFit="1" customWidth="1"/>
  </cols>
  <sheetData>
    <row r="1" spans="1:7" x14ac:dyDescent="0.35">
      <c r="A1" t="s">
        <v>3</v>
      </c>
      <c r="B1">
        <v>3</v>
      </c>
      <c r="C1" t="s">
        <v>0</v>
      </c>
    </row>
    <row r="2" spans="1:7" x14ac:dyDescent="0.35">
      <c r="A2" t="s">
        <v>1</v>
      </c>
      <c r="B2" s="1">
        <v>0.5</v>
      </c>
    </row>
    <row r="3" spans="1:7" x14ac:dyDescent="0.35">
      <c r="A3" s="8" t="s">
        <v>4</v>
      </c>
      <c r="B3" s="8">
        <f>B1/B2</f>
        <v>6</v>
      </c>
      <c r="C3" s="8" t="s">
        <v>2</v>
      </c>
    </row>
    <row r="6" spans="1:7" x14ac:dyDescent="0.35">
      <c r="A6" s="8" t="s">
        <v>5</v>
      </c>
    </row>
    <row r="7" spans="1:7" x14ac:dyDescent="0.35">
      <c r="B7" s="2"/>
      <c r="C7" s="10" t="s">
        <v>6</v>
      </c>
      <c r="D7" s="10" t="s">
        <v>7</v>
      </c>
      <c r="E7" s="10" t="s">
        <v>8</v>
      </c>
      <c r="F7" s="10" t="s">
        <v>22</v>
      </c>
      <c r="G7" s="11" t="s">
        <v>9</v>
      </c>
    </row>
    <row r="8" spans="1:7" x14ac:dyDescent="0.35">
      <c r="B8" s="3" t="s">
        <v>10</v>
      </c>
      <c r="D8" t="s">
        <v>19</v>
      </c>
      <c r="G8" s="4"/>
    </row>
    <row r="9" spans="1:7" x14ac:dyDescent="0.35">
      <c r="B9" s="3" t="s">
        <v>11</v>
      </c>
      <c r="C9" t="s">
        <v>28</v>
      </c>
      <c r="D9" t="s">
        <v>26</v>
      </c>
      <c r="F9" t="s">
        <v>27</v>
      </c>
      <c r="G9" s="15" t="s">
        <v>25</v>
      </c>
    </row>
    <row r="10" spans="1:7" x14ac:dyDescent="0.35">
      <c r="B10" s="5" t="s">
        <v>18</v>
      </c>
      <c r="C10" s="6" t="s">
        <v>23</v>
      </c>
      <c r="D10" s="6" t="s">
        <v>21</v>
      </c>
      <c r="E10" s="6"/>
      <c r="F10" s="6" t="s">
        <v>24</v>
      </c>
      <c r="G10" s="23" t="s">
        <v>20</v>
      </c>
    </row>
    <row r="12" spans="1:7" x14ac:dyDescent="0.35">
      <c r="B12" t="s">
        <v>45</v>
      </c>
    </row>
    <row r="16" spans="1:7" x14ac:dyDescent="0.35">
      <c r="B16" t="s">
        <v>30</v>
      </c>
      <c r="C16">
        <v>298.14999999999998</v>
      </c>
      <c r="G16" t="s">
        <v>41</v>
      </c>
    </row>
    <row r="17" spans="2:10" x14ac:dyDescent="0.35">
      <c r="B17" t="s">
        <v>31</v>
      </c>
      <c r="C17">
        <v>8.3140000000000001</v>
      </c>
      <c r="D17" t="s">
        <v>32</v>
      </c>
      <c r="G17" t="s">
        <v>42</v>
      </c>
    </row>
    <row r="18" spans="2:10" x14ac:dyDescent="0.35">
      <c r="B18" t="s">
        <v>33</v>
      </c>
      <c r="C18">
        <v>2.4760000000000001E-2</v>
      </c>
      <c r="D18" t="s">
        <v>34</v>
      </c>
      <c r="H18" t="s">
        <v>43</v>
      </c>
    </row>
    <row r="19" spans="2:10" x14ac:dyDescent="0.35">
      <c r="B19" t="s">
        <v>35</v>
      </c>
      <c r="C19">
        <v>2.6610000000000001E-5</v>
      </c>
      <c r="D19" t="s">
        <v>36</v>
      </c>
      <c r="H19" t="s">
        <v>44</v>
      </c>
    </row>
    <row r="20" spans="2:10" x14ac:dyDescent="0.35">
      <c r="C20">
        <v>2E-3</v>
      </c>
      <c r="D20" t="s">
        <v>37</v>
      </c>
    </row>
    <row r="22" spans="2:10" x14ac:dyDescent="0.35">
      <c r="B22" t="s">
        <v>29</v>
      </c>
      <c r="C22" t="s">
        <v>38</v>
      </c>
      <c r="D22" t="s">
        <v>39</v>
      </c>
      <c r="E22" t="s">
        <v>40</v>
      </c>
      <c r="G22" t="s">
        <v>29</v>
      </c>
      <c r="H22" t="s">
        <v>38</v>
      </c>
      <c r="I22" t="s">
        <v>39</v>
      </c>
      <c r="J22" t="s">
        <v>40</v>
      </c>
    </row>
    <row r="23" spans="2:10" x14ac:dyDescent="0.35">
      <c r="B23" s="20">
        <f>196/1000</f>
        <v>0.19600000000000001</v>
      </c>
      <c r="C23" s="20">
        <v>4.7</v>
      </c>
      <c r="D23" s="21">
        <f>$C$17*$C$16/($B$23/(C23/$C$20)-$C$19)-$C$18/($B$23/(C23/$C$20))^2</f>
        <v>40086216.694272526</v>
      </c>
      <c r="E23" s="21">
        <f>D23/100000</f>
        <v>400.86216694272525</v>
      </c>
      <c r="G23" s="20">
        <f>400/1000</f>
        <v>0.4</v>
      </c>
      <c r="H23" s="20">
        <v>16</v>
      </c>
      <c r="I23" s="21">
        <f>$C$17*$C$16/($G$23/(H23/$C$20)-$C$19)-$C$18/($G$23/(H23/$C$20))^2</f>
        <v>96073729.799059406</v>
      </c>
      <c r="J23" s="21">
        <f>I23/100000</f>
        <v>960.73729799059402</v>
      </c>
    </row>
    <row r="24" spans="2:10" x14ac:dyDescent="0.35">
      <c r="B24" s="16">
        <f>196/1000</f>
        <v>0.19600000000000001</v>
      </c>
      <c r="C24" s="18">
        <v>4.2641163082181972</v>
      </c>
      <c r="D24" s="17">
        <f t="shared" ref="D24:D38" si="0">$C$17*$C$16/($B$24/(C24/$C$20)-$C$19)-$C$18/($B$24/(C24/$C$20))^2</f>
        <v>35019091.589631654</v>
      </c>
      <c r="E24" s="19">
        <f>D24/100000</f>
        <v>350.19091589631654</v>
      </c>
      <c r="G24" s="16">
        <f>400/1000</f>
        <v>0.4</v>
      </c>
      <c r="H24" s="18">
        <v>13.626343056775017</v>
      </c>
      <c r="I24" s="17">
        <f t="shared" ref="I24:I69" si="1">$C$17*$C$16/($G$24/(H24/$C$20)-$C$19)-$C$18/($G$24/(H24/$C$20))^2</f>
        <v>70038850.342272118</v>
      </c>
      <c r="J24" s="19">
        <f>I24/100000</f>
        <v>700.38850342272121</v>
      </c>
    </row>
    <row r="25" spans="2:10" x14ac:dyDescent="0.35">
      <c r="C25" s="18">
        <f>C24-0.2</f>
        <v>4.064116308218197</v>
      </c>
      <c r="D25" s="17">
        <f t="shared" si="0"/>
        <v>32829425.769014426</v>
      </c>
      <c r="E25" s="22">
        <f>D25/100000</f>
        <v>328.29425769014426</v>
      </c>
      <c r="H25" s="18">
        <f>H24-0.3</f>
        <v>13.326343056775016</v>
      </c>
      <c r="I25" s="17">
        <f t="shared" si="1"/>
        <v>67297890.039903268</v>
      </c>
      <c r="J25" s="22">
        <f>I25/100000</f>
        <v>672.97890039903268</v>
      </c>
    </row>
    <row r="26" spans="2:10" x14ac:dyDescent="0.35">
      <c r="C26" s="18">
        <f t="shared" ref="C26:C42" si="2">C25-0.2</f>
        <v>3.8641163082181968</v>
      </c>
      <c r="D26" s="17">
        <f t="shared" si="0"/>
        <v>30717345.616884507</v>
      </c>
      <c r="E26" s="22">
        <f t="shared" ref="E26:E45" si="3">D26/100000</f>
        <v>307.17345616884506</v>
      </c>
      <c r="H26" s="18">
        <f t="shared" ref="H26:H39" si="4">H25-0.3</f>
        <v>13.026343056775016</v>
      </c>
      <c r="I26" s="17">
        <f t="shared" si="1"/>
        <v>64657508.957876921</v>
      </c>
      <c r="J26" s="22">
        <f t="shared" ref="J26:J69" si="5">I26/100000</f>
        <v>646.57508957876917</v>
      </c>
    </row>
    <row r="27" spans="2:10" x14ac:dyDescent="0.35">
      <c r="C27" s="18">
        <f t="shared" si="2"/>
        <v>3.6641163082181967</v>
      </c>
      <c r="D27" s="17">
        <f t="shared" si="0"/>
        <v>28677946.031793784</v>
      </c>
      <c r="E27" s="22">
        <f t="shared" si="3"/>
        <v>286.77946031793783</v>
      </c>
      <c r="H27" s="18">
        <f t="shared" si="4"/>
        <v>12.726343056775015</v>
      </c>
      <c r="I27" s="17">
        <f t="shared" si="1"/>
        <v>62112124.489996806</v>
      </c>
      <c r="J27" s="22">
        <f t="shared" si="5"/>
        <v>621.12124489996802</v>
      </c>
    </row>
    <row r="28" spans="2:10" x14ac:dyDescent="0.35">
      <c r="C28" s="18">
        <f t="shared" si="2"/>
        <v>3.4641163082181965</v>
      </c>
      <c r="D28" s="17">
        <f t="shared" si="0"/>
        <v>26706670.187414646</v>
      </c>
      <c r="E28" s="22">
        <f t="shared" si="3"/>
        <v>267.06670187414647</v>
      </c>
      <c r="H28" s="18">
        <f t="shared" si="4"/>
        <v>12.426343056775014</v>
      </c>
      <c r="I28" s="17">
        <f t="shared" si="1"/>
        <v>59656533.852105796</v>
      </c>
      <c r="J28" s="22">
        <f t="shared" si="5"/>
        <v>596.56533852105792</v>
      </c>
    </row>
    <row r="29" spans="2:10" x14ac:dyDescent="0.35">
      <c r="C29" s="18">
        <f t="shared" si="2"/>
        <v>3.2641163082181963</v>
      </c>
      <c r="D29" s="17">
        <f t="shared" si="0"/>
        <v>24799279.161089793</v>
      </c>
      <c r="E29" s="22">
        <f t="shared" si="3"/>
        <v>247.99279161089794</v>
      </c>
      <c r="H29" s="18">
        <f t="shared" si="4"/>
        <v>12.126343056775013</v>
      </c>
      <c r="I29" s="17">
        <f t="shared" si="1"/>
        <v>57285882.320039921</v>
      </c>
      <c r="J29" s="22">
        <f t="shared" si="5"/>
        <v>572.85882320039923</v>
      </c>
    </row>
    <row r="30" spans="2:10" x14ac:dyDescent="0.35">
      <c r="C30" s="18">
        <f t="shared" si="2"/>
        <v>3.0641163082181961</v>
      </c>
      <c r="D30" s="17">
        <f t="shared" si="0"/>
        <v>22951824.68616312</v>
      </c>
      <c r="E30" s="22">
        <f t="shared" si="3"/>
        <v>229.51824686163121</v>
      </c>
      <c r="H30" s="18">
        <f t="shared" si="4"/>
        <v>11.826343056775013</v>
      </c>
      <c r="I30" s="17">
        <f t="shared" si="1"/>
        <v>54995634.602416992</v>
      </c>
      <c r="J30" s="22">
        <f t="shared" si="5"/>
        <v>549.95634602416987</v>
      </c>
    </row>
    <row r="31" spans="2:10" x14ac:dyDescent="0.35">
      <c r="C31" s="18">
        <f t="shared" si="2"/>
        <v>2.864116308218196</v>
      </c>
      <c r="D31" s="17">
        <f t="shared" si="0"/>
        <v>21160624.659571923</v>
      </c>
      <c r="E31" s="22">
        <f t="shared" si="3"/>
        <v>211.60624659571923</v>
      </c>
      <c r="H31" s="18">
        <f t="shared" si="4"/>
        <v>11.526343056775012</v>
      </c>
      <c r="I31" s="17">
        <f t="shared" si="1"/>
        <v>52781548.993134417</v>
      </c>
      <c r="J31" s="22">
        <f t="shared" si="5"/>
        <v>527.81548993134413</v>
      </c>
    </row>
    <row r="32" spans="2:10" x14ac:dyDescent="0.35">
      <c r="C32" s="18">
        <f t="shared" si="2"/>
        <v>2.6641163082181958</v>
      </c>
      <c r="D32" s="17">
        <f t="shared" si="0"/>
        <v>19422241.08504289</v>
      </c>
      <c r="E32" s="22">
        <f t="shared" si="3"/>
        <v>194.2224108504289</v>
      </c>
      <c r="H32" s="18">
        <f t="shared" si="4"/>
        <v>11.226343056775011</v>
      </c>
      <c r="I32" s="17">
        <f t="shared" si="1"/>
        <v>50639653.993696049</v>
      </c>
      <c r="J32" s="22">
        <f t="shared" si="5"/>
        <v>506.39653993696049</v>
      </c>
    </row>
    <row r="33" spans="3:10" x14ac:dyDescent="0.35">
      <c r="C33" s="18">
        <f t="shared" si="2"/>
        <v>2.4641163082181956</v>
      </c>
      <c r="D33" s="17">
        <f t="shared" si="0"/>
        <v>17733460.173927441</v>
      </c>
      <c r="E33" s="22">
        <f t="shared" si="3"/>
        <v>177.3346017392744</v>
      </c>
      <c r="H33" s="18">
        <f t="shared" si="4"/>
        <v>10.926343056775011</v>
      </c>
      <c r="I33" s="17">
        <f t="shared" si="1"/>
        <v>48566227.134348348</v>
      </c>
      <c r="J33" s="22">
        <f t="shared" si="5"/>
        <v>485.6622713434835</v>
      </c>
    </row>
    <row r="34" spans="3:10" x14ac:dyDescent="0.35">
      <c r="C34" s="18">
        <f t="shared" si="2"/>
        <v>2.2641163082181954</v>
      </c>
      <c r="D34" s="17">
        <f t="shared" si="0"/>
        <v>16091274.361384464</v>
      </c>
      <c r="E34" s="22">
        <f t="shared" si="3"/>
        <v>160.91274361384464</v>
      </c>
      <c r="H34" s="18">
        <f t="shared" si="4"/>
        <v>10.62634305677501</v>
      </c>
      <c r="I34" s="17">
        <f t="shared" si="1"/>
        <v>46557775.756470412</v>
      </c>
      <c r="J34" s="22">
        <f t="shared" si="5"/>
        <v>465.57775756470414</v>
      </c>
    </row>
    <row r="35" spans="3:10" x14ac:dyDescent="0.35">
      <c r="C35" s="18">
        <f t="shared" si="2"/>
        <v>2.0641163082181953</v>
      </c>
      <c r="D35" s="17">
        <f t="shared" si="0"/>
        <v>14492866.026223131</v>
      </c>
      <c r="E35" s="22">
        <f t="shared" si="3"/>
        <v>144.92866026223132</v>
      </c>
      <c r="H35" s="18">
        <f t="shared" si="4"/>
        <v>10.326343056775009</v>
      </c>
      <c r="I35" s="17">
        <f t="shared" si="1"/>
        <v>44611019.547547899</v>
      </c>
      <c r="J35" s="22">
        <f t="shared" si="5"/>
        <v>446.11019547547897</v>
      </c>
    </row>
    <row r="36" spans="3:10" x14ac:dyDescent="0.35">
      <c r="C36" s="18">
        <f t="shared" si="2"/>
        <v>1.8641163082181953</v>
      </c>
      <c r="D36" s="17">
        <f t="shared" si="0"/>
        <v>12935592.729040807</v>
      </c>
      <c r="E36" s="22">
        <f t="shared" si="3"/>
        <v>129.35592729040806</v>
      </c>
      <c r="H36" s="18">
        <f t="shared" si="4"/>
        <v>10.026343056775008</v>
      </c>
      <c r="I36" s="17">
        <f t="shared" si="1"/>
        <v>42722874.645054154</v>
      </c>
      <c r="J36" s="22">
        <f t="shared" si="5"/>
        <v>427.22874645054156</v>
      </c>
    </row>
    <row r="37" spans="3:10" x14ac:dyDescent="0.35">
      <c r="C37" s="18">
        <f t="shared" si="2"/>
        <v>1.6641163082181953</v>
      </c>
      <c r="D37" s="17">
        <f t="shared" si="0"/>
        <v>11416973.80598815</v>
      </c>
      <c r="E37" s="22">
        <f t="shared" si="3"/>
        <v>114.1697380598815</v>
      </c>
      <c r="H37" s="18">
        <f t="shared" si="4"/>
        <v>9.7263430567750078</v>
      </c>
      <c r="I37" s="17">
        <f t="shared" si="1"/>
        <v>40890439.147237599</v>
      </c>
      <c r="J37" s="22">
        <f t="shared" si="5"/>
        <v>408.90439147237601</v>
      </c>
    </row>
    <row r="38" spans="3:10" x14ac:dyDescent="0.35">
      <c r="C38" s="18">
        <f t="shared" si="2"/>
        <v>1.4641163082181954</v>
      </c>
      <c r="D38" s="17">
        <f t="shared" si="0"/>
        <v>9934678.1751108151</v>
      </c>
      <c r="E38" s="22">
        <f t="shared" si="3"/>
        <v>99.346781751108153</v>
      </c>
      <c r="H38" s="18">
        <f t="shared" si="4"/>
        <v>9.4263430567750071</v>
      </c>
      <c r="I38" s="17">
        <f t="shared" si="1"/>
        <v>39110979.887653552</v>
      </c>
      <c r="J38" s="22">
        <f t="shared" si="5"/>
        <v>391.10979887653554</v>
      </c>
    </row>
    <row r="39" spans="3:10" x14ac:dyDescent="0.35">
      <c r="C39" s="18">
        <f t="shared" si="2"/>
        <v>1.2641163082181954</v>
      </c>
      <c r="D39" s="17">
        <f t="shared" ref="D39:D45" si="6">$C$17*$C$16/($B$24/(C39/$C$20)-$C$19)-$C$18/($B$24/(C39/$C$20))^2</f>
        <v>8486513.2292127591</v>
      </c>
      <c r="E39" s="22">
        <f t="shared" si="3"/>
        <v>84.865132292127598</v>
      </c>
      <c r="H39" s="18">
        <f t="shared" si="4"/>
        <v>9.1263430567750063</v>
      </c>
      <c r="I39" s="17">
        <f t="shared" si="1"/>
        <v>37381920.346689276</v>
      </c>
      <c r="J39" s="22">
        <f t="shared" si="5"/>
        <v>373.81920346689276</v>
      </c>
    </row>
    <row r="40" spans="3:10" x14ac:dyDescent="0.35">
      <c r="C40" s="18">
        <f t="shared" si="2"/>
        <v>1.0641163082181955</v>
      </c>
      <c r="D40" s="17">
        <f t="shared" si="6"/>
        <v>7070414.7039431306</v>
      </c>
      <c r="E40" s="22">
        <f t="shared" si="3"/>
        <v>70.704147039431305</v>
      </c>
      <c r="H40" s="18">
        <f t="shared" ref="H40:H63" si="7">H39-0.3</f>
        <v>8.8263430567750056</v>
      </c>
      <c r="I40" s="17">
        <f t="shared" si="1"/>
        <v>35700829.587654755</v>
      </c>
      <c r="J40" s="22">
        <f t="shared" si="5"/>
        <v>357.00829587654755</v>
      </c>
    </row>
    <row r="41" spans="3:10" x14ac:dyDescent="0.35">
      <c r="C41" s="18">
        <f t="shared" si="2"/>
        <v>0.86411630821819552</v>
      </c>
      <c r="D41" s="17">
        <f t="shared" si="6"/>
        <v>5684437.4226503912</v>
      </c>
      <c r="E41" s="22">
        <f t="shared" si="3"/>
        <v>56.844374226503909</v>
      </c>
      <c r="H41" s="18">
        <f t="shared" si="7"/>
        <v>8.5263430567750049</v>
      </c>
      <c r="I41" s="17">
        <f t="shared" si="1"/>
        <v>34065412.117539227</v>
      </c>
      <c r="J41" s="22">
        <f t="shared" si="5"/>
        <v>340.65412117539228</v>
      </c>
    </row>
    <row r="42" spans="3:10" x14ac:dyDescent="0.35">
      <c r="C42" s="18">
        <f t="shared" si="2"/>
        <v>0.66411630821819556</v>
      </c>
      <c r="D42" s="17">
        <f t="shared" si="6"/>
        <v>4326746.8307457101</v>
      </c>
      <c r="E42" s="22">
        <f t="shared" si="3"/>
        <v>43.267468307457101</v>
      </c>
      <c r="H42" s="18">
        <f t="shared" si="7"/>
        <v>8.2263430567750042</v>
      </c>
      <c r="I42" s="17">
        <f t="shared" si="1"/>
        <v>32473498.583514109</v>
      </c>
      <c r="J42" s="22">
        <f t="shared" si="5"/>
        <v>324.73498583514112</v>
      </c>
    </row>
    <row r="43" spans="3:10" x14ac:dyDescent="0.35">
      <c r="C43" s="18">
        <f t="shared" ref="C43:C45" si="8">C42-0.2</f>
        <v>0.46411630821819555</v>
      </c>
      <c r="D43" s="17">
        <f t="shared" si="6"/>
        <v>2995611.2421032279</v>
      </c>
      <c r="E43" s="22">
        <f t="shared" si="3"/>
        <v>29.95611242103228</v>
      </c>
      <c r="H43" s="18">
        <f t="shared" si="7"/>
        <v>7.9263430567750044</v>
      </c>
      <c r="I43" s="17">
        <f t="shared" si="1"/>
        <v>30923037.225901462</v>
      </c>
      <c r="J43" s="22">
        <f t="shared" si="5"/>
        <v>309.23037225901464</v>
      </c>
    </row>
    <row r="44" spans="3:10" x14ac:dyDescent="0.35">
      <c r="C44" s="18">
        <f t="shared" si="8"/>
        <v>0.26411630821819554</v>
      </c>
      <c r="D44" s="17">
        <f t="shared" si="6"/>
        <v>1689394.7285929241</v>
      </c>
      <c r="E44" s="22">
        <f t="shared" si="3"/>
        <v>16.89394728592924</v>
      </c>
      <c r="H44" s="18">
        <f t="shared" si="7"/>
        <v>7.6263430567750046</v>
      </c>
      <c r="I44" s="17">
        <f t="shared" si="1"/>
        <v>29412086.016808443</v>
      </c>
      <c r="J44" s="22">
        <f t="shared" si="5"/>
        <v>294.12086016808445</v>
      </c>
    </row>
    <row r="45" spans="3:10" x14ac:dyDescent="0.35">
      <c r="C45" s="18">
        <f t="shared" si="8"/>
        <v>6.4116308218195528E-2</v>
      </c>
      <c r="D45" s="17">
        <f t="shared" si="6"/>
        <v>406550.59135828353</v>
      </c>
      <c r="E45" s="22">
        <f t="shared" si="3"/>
        <v>4.0655059135828351</v>
      </c>
      <c r="H45" s="18">
        <f t="shared" si="7"/>
        <v>7.3263430567750047</v>
      </c>
      <c r="I45" s="17">
        <f t="shared" si="1"/>
        <v>27938805.421100628</v>
      </c>
      <c r="J45" s="22">
        <f t="shared" si="5"/>
        <v>279.38805421100625</v>
      </c>
    </row>
    <row r="46" spans="3:10" x14ac:dyDescent="0.35">
      <c r="C46" s="18"/>
      <c r="D46" s="17"/>
      <c r="E46" s="22"/>
      <c r="H46" s="18">
        <f t="shared" si="7"/>
        <v>7.0263430567750049</v>
      </c>
      <c r="I46" s="17">
        <f t="shared" si="1"/>
        <v>26501451.722984679</v>
      </c>
      <c r="J46" s="22">
        <f t="shared" si="5"/>
        <v>265.01451722984677</v>
      </c>
    </row>
    <row r="47" spans="3:10" x14ac:dyDescent="0.35">
      <c r="H47" s="18">
        <f t="shared" si="7"/>
        <v>6.7263430567750051</v>
      </c>
      <c r="I47" s="17">
        <f t="shared" si="1"/>
        <v>25098370.867304567</v>
      </c>
      <c r="J47" s="22">
        <f t="shared" si="5"/>
        <v>250.98370867304567</v>
      </c>
    </row>
    <row r="48" spans="3:10" x14ac:dyDescent="0.35">
      <c r="H48" s="18">
        <f t="shared" si="7"/>
        <v>6.4263430567750053</v>
      </c>
      <c r="I48" s="17">
        <f t="shared" si="1"/>
        <v>23727992.769823428</v>
      </c>
      <c r="J48" s="22">
        <f t="shared" si="5"/>
        <v>237.27992769823427</v>
      </c>
    </row>
    <row r="49" spans="8:10" x14ac:dyDescent="0.35">
      <c r="H49" s="18">
        <f t="shared" si="7"/>
        <v>6.1263430567750055</v>
      </c>
      <c r="I49" s="17">
        <f t="shared" si="1"/>
        <v>22388826.055347674</v>
      </c>
      <c r="J49" s="22">
        <f t="shared" si="5"/>
        <v>223.88826055347673</v>
      </c>
    </row>
    <row r="50" spans="8:10" x14ac:dyDescent="0.35">
      <c r="H50" s="18">
        <f t="shared" si="7"/>
        <v>5.8263430567750056</v>
      </c>
      <c r="I50" s="17">
        <f t="shared" si="1"/>
        <v>21079453.18662405</v>
      </c>
      <c r="J50" s="22">
        <f t="shared" si="5"/>
        <v>210.7945318662405</v>
      </c>
    </row>
    <row r="51" spans="8:10" x14ac:dyDescent="0.35">
      <c r="H51" s="18">
        <f t="shared" si="7"/>
        <v>5.5263430567750058</v>
      </c>
      <c r="I51" s="17">
        <f t="shared" si="1"/>
        <v>19798525.950566161</v>
      </c>
      <c r="J51" s="22">
        <f t="shared" si="5"/>
        <v>197.98525950566162</v>
      </c>
    </row>
    <row r="52" spans="8:10" x14ac:dyDescent="0.35">
      <c r="H52" s="18">
        <f t="shared" si="7"/>
        <v>5.226343056775006</v>
      </c>
      <c r="I52" s="17">
        <f t="shared" si="1"/>
        <v>18544761.271598317</v>
      </c>
      <c r="J52" s="22">
        <f t="shared" si="5"/>
        <v>185.44761271598315</v>
      </c>
    </row>
    <row r="53" spans="8:10" x14ac:dyDescent="0.35">
      <c r="H53" s="18">
        <f t="shared" si="7"/>
        <v>4.9263430567750062</v>
      </c>
      <c r="I53" s="17">
        <f t="shared" si="1"/>
        <v>17316937.324789304</v>
      </c>
      <c r="J53" s="22">
        <f t="shared" si="5"/>
        <v>173.16937324789305</v>
      </c>
    </row>
    <row r="54" spans="8:10" x14ac:dyDescent="0.35">
      <c r="H54" s="18">
        <f t="shared" si="7"/>
        <v>4.6263430567750063</v>
      </c>
      <c r="I54" s="17">
        <f t="shared" si="1"/>
        <v>16113889.924026811</v>
      </c>
      <c r="J54" s="22">
        <f t="shared" si="5"/>
        <v>161.1388992402681</v>
      </c>
    </row>
    <row r="55" spans="8:10" x14ac:dyDescent="0.35">
      <c r="H55" s="18">
        <f t="shared" si="7"/>
        <v>4.3263430567750065</v>
      </c>
      <c r="I55" s="17">
        <f t="shared" si="1"/>
        <v>14934509.162791232</v>
      </c>
      <c r="J55" s="22">
        <f t="shared" si="5"/>
        <v>149.34509162791232</v>
      </c>
    </row>
    <row r="56" spans="8:10" x14ac:dyDescent="0.35">
      <c r="H56" s="18">
        <f t="shared" si="7"/>
        <v>4.0263430567750067</v>
      </c>
      <c r="I56" s="17">
        <f t="shared" si="1"/>
        <v>13777736.287155932</v>
      </c>
      <c r="J56" s="22">
        <f t="shared" si="5"/>
        <v>137.77736287155932</v>
      </c>
    </row>
    <row r="57" spans="8:10" x14ac:dyDescent="0.35">
      <c r="H57" s="18">
        <f t="shared" si="7"/>
        <v>3.7263430567750069</v>
      </c>
      <c r="I57" s="17">
        <f t="shared" si="1"/>
        <v>12642560.78249762</v>
      </c>
      <c r="J57" s="22">
        <f t="shared" si="5"/>
        <v>126.4256078249762</v>
      </c>
    </row>
    <row r="58" spans="8:10" x14ac:dyDescent="0.35">
      <c r="H58" s="18">
        <f t="shared" si="7"/>
        <v>3.4263430567750071</v>
      </c>
      <c r="I58" s="17">
        <f t="shared" si="1"/>
        <v>11528017.657068806</v>
      </c>
      <c r="J58" s="22">
        <f t="shared" si="5"/>
        <v>115.28017657068806</v>
      </c>
    </row>
    <row r="59" spans="8:10" x14ac:dyDescent="0.35">
      <c r="H59" s="18">
        <f t="shared" si="7"/>
        <v>3.1263430567750072</v>
      </c>
      <c r="I59" s="17">
        <f t="shared" si="1"/>
        <v>10433184.907085309</v>
      </c>
      <c r="J59" s="22">
        <f t="shared" si="5"/>
        <v>104.33184907085308</v>
      </c>
    </row>
    <row r="60" spans="8:10" x14ac:dyDescent="0.35">
      <c r="H60" s="18">
        <f t="shared" si="7"/>
        <v>2.8263430567750074</v>
      </c>
      <c r="I60" s="17">
        <f t="shared" si="1"/>
        <v>9357181.1493340787</v>
      </c>
      <c r="J60" s="22">
        <f t="shared" si="5"/>
        <v>93.571811493340789</v>
      </c>
    </row>
    <row r="61" spans="8:10" x14ac:dyDescent="0.35">
      <c r="H61" s="18">
        <f t="shared" si="7"/>
        <v>2.5263430567750076</v>
      </c>
      <c r="I61" s="17">
        <f t="shared" si="1"/>
        <v>8299163.4085263778</v>
      </c>
      <c r="J61" s="22">
        <f t="shared" si="5"/>
        <v>82.991634085263783</v>
      </c>
    </row>
    <row r="62" spans="8:10" x14ac:dyDescent="0.35">
      <c r="H62" s="18">
        <f t="shared" si="7"/>
        <v>2.2263430567750078</v>
      </c>
      <c r="I62" s="17">
        <f t="shared" si="1"/>
        <v>7258325.0477226339</v>
      </c>
      <c r="J62" s="22">
        <f t="shared" si="5"/>
        <v>72.583250477226343</v>
      </c>
    </row>
    <row r="63" spans="8:10" x14ac:dyDescent="0.35">
      <c r="H63" s="18">
        <f t="shared" si="7"/>
        <v>1.9263430567750077</v>
      </c>
      <c r="I63" s="17">
        <f t="shared" si="1"/>
        <v>6233893.8311510542</v>
      </c>
      <c r="J63" s="22">
        <f t="shared" si="5"/>
        <v>62.338938311510539</v>
      </c>
    </row>
    <row r="64" spans="8:10" x14ac:dyDescent="0.35">
      <c r="H64" s="18">
        <f t="shared" ref="H64:H69" si="9">H63-0.3</f>
        <v>1.6263430567750077</v>
      </c>
      <c r="I64" s="17">
        <f t="shared" si="1"/>
        <v>5225130.1096432693</v>
      </c>
      <c r="J64" s="22">
        <f t="shared" si="5"/>
        <v>52.251301096432691</v>
      </c>
    </row>
    <row r="65" spans="8:10" x14ac:dyDescent="0.35">
      <c r="H65" s="18">
        <f t="shared" si="9"/>
        <v>1.3263430567750076</v>
      </c>
      <c r="I65" s="17">
        <f t="shared" si="1"/>
        <v>4231325.1197267091</v>
      </c>
      <c r="J65" s="22">
        <f t="shared" si="5"/>
        <v>42.313251197267093</v>
      </c>
    </row>
    <row r="66" spans="8:10" x14ac:dyDescent="0.35">
      <c r="H66" s="18">
        <f t="shared" si="9"/>
        <v>1.0263430567750076</v>
      </c>
      <c r="I66" s="17">
        <f t="shared" si="1"/>
        <v>3251799.3881540829</v>
      </c>
      <c r="J66" s="22">
        <f t="shared" si="5"/>
        <v>32.517993881540832</v>
      </c>
    </row>
    <row r="67" spans="8:10" x14ac:dyDescent="0.35">
      <c r="H67" s="18">
        <f t="shared" si="9"/>
        <v>0.72634305677500755</v>
      </c>
      <c r="I67" s="17">
        <f t="shared" si="1"/>
        <v>2285901.2343226639</v>
      </c>
      <c r="J67" s="22">
        <f t="shared" si="5"/>
        <v>22.859012343226638</v>
      </c>
    </row>
    <row r="68" spans="8:10" x14ac:dyDescent="0.35">
      <c r="H68" s="18">
        <f t="shared" si="9"/>
        <v>0.42634305677500756</v>
      </c>
      <c r="I68" s="17">
        <f t="shared" si="1"/>
        <v>1333005.363647324</v>
      </c>
      <c r="J68" s="22">
        <f t="shared" si="5"/>
        <v>13.33005363647324</v>
      </c>
    </row>
    <row r="69" spans="8:10" x14ac:dyDescent="0.35">
      <c r="H69" s="18">
        <f t="shared" si="9"/>
        <v>0.12634305677500757</v>
      </c>
      <c r="I69" s="17">
        <f t="shared" si="1"/>
        <v>392511.54550725874</v>
      </c>
      <c r="J69" s="22">
        <f t="shared" si="5"/>
        <v>3.9251154550725875</v>
      </c>
    </row>
    <row r="70" spans="8:10" x14ac:dyDescent="0.35">
      <c r="H70" s="18"/>
      <c r="I70" s="17"/>
      <c r="J70" s="22"/>
    </row>
  </sheetData>
  <phoneticPr fontId="3" type="noConversion"/>
  <hyperlinks>
    <hyperlink ref="G10" r:id="rId1" xr:uid="{A219B49B-DAC1-48DC-BBE3-90E1AEB6D981}"/>
    <hyperlink ref="G9" r:id="rId2" xr:uid="{0F21C9D9-EDBD-49B2-85DF-F69CAD735205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CE6E-EC8B-4254-A30E-65E3E0AB89B4}">
  <dimension ref="A1:P63"/>
  <sheetViews>
    <sheetView tabSelected="1" workbookViewId="0">
      <selection activeCell="E6" sqref="E6"/>
    </sheetView>
  </sheetViews>
  <sheetFormatPr defaultColWidth="10.90625" defaultRowHeight="14.5" x14ac:dyDescent="0.35"/>
  <cols>
    <col min="1" max="1" width="17.36328125" bestFit="1" customWidth="1"/>
    <col min="2" max="2" width="17.36328125" customWidth="1"/>
    <col min="7" max="7" width="22.36328125" bestFit="1" customWidth="1"/>
    <col min="8" max="8" width="13.54296875" bestFit="1" customWidth="1"/>
    <col min="9" max="9" width="13.54296875" customWidth="1"/>
    <col min="13" max="13" width="14.90625" bestFit="1" customWidth="1"/>
    <col min="14" max="14" width="13.54296875" bestFit="1" customWidth="1"/>
    <col min="15" max="15" width="13.54296875" customWidth="1"/>
  </cols>
  <sheetData>
    <row r="1" spans="1:16" x14ac:dyDescent="0.35">
      <c r="A1" s="9" t="s">
        <v>12</v>
      </c>
      <c r="B1" s="9"/>
      <c r="C1" s="14" t="s">
        <v>17</v>
      </c>
      <c r="G1" s="9" t="s">
        <v>46</v>
      </c>
      <c r="M1" s="9" t="s">
        <v>47</v>
      </c>
    </row>
    <row r="2" spans="1:16" x14ac:dyDescent="0.35">
      <c r="A2" s="12" t="s">
        <v>14</v>
      </c>
      <c r="B2" s="24" t="s">
        <v>87</v>
      </c>
      <c r="C2" s="13" t="s">
        <v>13</v>
      </c>
      <c r="G2" s="12" t="s">
        <v>15</v>
      </c>
      <c r="H2" s="24" t="s">
        <v>16</v>
      </c>
      <c r="I2" s="24" t="s">
        <v>82</v>
      </c>
      <c r="J2" s="13" t="s">
        <v>13</v>
      </c>
      <c r="M2" s="12" t="s">
        <v>15</v>
      </c>
      <c r="N2" s="24" t="s">
        <v>16</v>
      </c>
      <c r="O2" s="24" t="s">
        <v>82</v>
      </c>
      <c r="P2" s="13" t="s">
        <v>13</v>
      </c>
    </row>
    <row r="3" spans="1:16" x14ac:dyDescent="0.35">
      <c r="A3" s="55">
        <f>'Input ranges'!B3*1000</f>
        <v>6000</v>
      </c>
      <c r="C3" s="4">
        <v>3</v>
      </c>
      <c r="F3">
        <v>1</v>
      </c>
      <c r="G3" s="25">
        <v>4.2641163082181972</v>
      </c>
      <c r="H3" s="18">
        <v>350.19091589631654</v>
      </c>
      <c r="I3" s="18">
        <f>H3-1</f>
        <v>349.19091589631654</v>
      </c>
      <c r="J3" s="44">
        <f>Results_Tank1!$M$3</f>
        <v>3.0187117746282452E-2</v>
      </c>
      <c r="L3">
        <v>1</v>
      </c>
      <c r="M3" s="25">
        <v>13.626343056775017</v>
      </c>
      <c r="N3" s="18">
        <v>700.38850342272121</v>
      </c>
      <c r="O3" s="18">
        <f>N3-1</f>
        <v>699.38850342272121</v>
      </c>
      <c r="P3" s="44">
        <f>Results_Tank2!$M$3</f>
        <v>6.557785779571218E-2</v>
      </c>
    </row>
    <row r="4" spans="1:16" x14ac:dyDescent="0.35">
      <c r="A4" s="3">
        <f>A3-100</f>
        <v>5900</v>
      </c>
      <c r="C4" s="4">
        <v>3</v>
      </c>
      <c r="F4">
        <v>2</v>
      </c>
      <c r="G4" s="25">
        <v>4.064116308218197</v>
      </c>
      <c r="H4" s="18">
        <v>328.29425769014426</v>
      </c>
      <c r="I4" s="18">
        <f t="shared" ref="I4:I24" si="0">H4-1</f>
        <v>327.29425769014426</v>
      </c>
      <c r="J4" s="44">
        <f>Results_Tank1!$M$6</f>
        <v>2.9985623854044803E-2</v>
      </c>
      <c r="L4">
        <v>2</v>
      </c>
      <c r="M4" s="25">
        <v>13.326343056775016</v>
      </c>
      <c r="N4" s="18">
        <v>672.97890039903268</v>
      </c>
      <c r="O4" s="18">
        <f t="shared" ref="O4:O48" si="1">N4-1</f>
        <v>671.97890039903268</v>
      </c>
      <c r="P4" s="44">
        <f>Results_Tank2!$M$6</f>
        <v>6.5153902131444216E-2</v>
      </c>
    </row>
    <row r="5" spans="1:16" x14ac:dyDescent="0.35">
      <c r="A5" s="3">
        <f t="shared" ref="A5:A63" si="2">A4-100</f>
        <v>5800</v>
      </c>
      <c r="C5" s="4"/>
      <c r="F5">
        <v>3</v>
      </c>
      <c r="G5" s="25">
        <v>3.8641163082181968</v>
      </c>
      <c r="H5" s="18">
        <v>307.17345616884506</v>
      </c>
      <c r="I5" s="18">
        <f t="shared" si="0"/>
        <v>306.17345616884506</v>
      </c>
      <c r="J5" s="44">
        <f>Results_Tank1!$M$9</f>
        <v>2.9626522735906251E-2</v>
      </c>
      <c r="L5">
        <v>3</v>
      </c>
      <c r="M5" s="25">
        <v>13.026343056775016</v>
      </c>
      <c r="N5" s="18">
        <v>646.57508957876917</v>
      </c>
      <c r="O5" s="18">
        <f t="shared" si="1"/>
        <v>645.57508957876917</v>
      </c>
      <c r="P5" s="44">
        <f>Results_Tank2!$M$9</f>
        <v>6.4718061684499048E-2</v>
      </c>
    </row>
    <row r="6" spans="1:16" x14ac:dyDescent="0.35">
      <c r="A6" s="3">
        <f t="shared" si="2"/>
        <v>5700</v>
      </c>
      <c r="C6" s="4"/>
      <c r="F6">
        <v>4</v>
      </c>
      <c r="G6" s="25">
        <v>3.6641163082181967</v>
      </c>
      <c r="H6" s="18">
        <v>286.77946031793783</v>
      </c>
      <c r="I6" s="18">
        <f t="shared" si="0"/>
        <v>285.77946031793783</v>
      </c>
      <c r="J6" s="44">
        <f>Results_Tank1!$M$12</f>
        <v>2.9249192925105055E-2</v>
      </c>
      <c r="L6">
        <v>4</v>
      </c>
      <c r="M6" s="25">
        <v>12.726343056775015</v>
      </c>
      <c r="N6" s="18">
        <v>621.12124489996802</v>
      </c>
      <c r="O6" s="18">
        <f t="shared" si="1"/>
        <v>620.12124489996802</v>
      </c>
      <c r="P6" s="44">
        <f>Results_Tank2!$M$12</f>
        <v>6.4285473921048816E-2</v>
      </c>
    </row>
    <row r="7" spans="1:16" x14ac:dyDescent="0.35">
      <c r="A7" s="3">
        <f t="shared" si="2"/>
        <v>5600</v>
      </c>
      <c r="C7" s="4"/>
      <c r="F7">
        <v>5</v>
      </c>
      <c r="G7" s="25">
        <v>3.4641163082181965</v>
      </c>
      <c r="H7" s="18">
        <v>267.06670187414647</v>
      </c>
      <c r="I7" s="18">
        <f t="shared" si="0"/>
        <v>266.06670187414647</v>
      </c>
      <c r="J7" s="44">
        <f>Results_Tank1!$M$15</f>
        <v>2.8467784469481446E-2</v>
      </c>
      <c r="L7">
        <v>5</v>
      </c>
      <c r="M7" s="25">
        <v>12.426343056775014</v>
      </c>
      <c r="N7" s="18">
        <v>596.56533852105792</v>
      </c>
      <c r="O7" s="18">
        <f t="shared" si="1"/>
        <v>595.56533852105792</v>
      </c>
      <c r="P7" s="44">
        <f>Results_Tank2!$M$15</f>
        <v>6.3820315126740204E-2</v>
      </c>
    </row>
    <row r="8" spans="1:16" x14ac:dyDescent="0.35">
      <c r="A8" s="3">
        <f t="shared" si="2"/>
        <v>5500</v>
      </c>
      <c r="C8" s="4"/>
      <c r="F8">
        <v>6</v>
      </c>
      <c r="G8" s="25">
        <v>3.2641163082181963</v>
      </c>
      <c r="H8" s="18">
        <v>247.99279161089794</v>
      </c>
      <c r="I8" s="18">
        <f t="shared" si="0"/>
        <v>246.99279161089794</v>
      </c>
      <c r="J8" s="44">
        <f>Results_Tank1!$M$18</f>
        <v>2.7504235469931203E-2</v>
      </c>
      <c r="L8">
        <v>6</v>
      </c>
      <c r="M8" s="25">
        <v>12.126343056775013</v>
      </c>
      <c r="N8" s="18">
        <v>572.85882320039923</v>
      </c>
      <c r="O8" s="18">
        <f t="shared" si="1"/>
        <v>571.85882320039923</v>
      </c>
      <c r="P8" s="44">
        <f>Results_Tank2!$M$18</f>
        <v>6.3345563015772197E-2</v>
      </c>
    </row>
    <row r="9" spans="1:16" x14ac:dyDescent="0.35">
      <c r="A9" s="3">
        <f t="shared" si="2"/>
        <v>5400</v>
      </c>
      <c r="C9" s="4"/>
      <c r="F9">
        <v>7</v>
      </c>
      <c r="G9" s="25">
        <v>3.0641163082181961</v>
      </c>
      <c r="H9" s="18">
        <v>229.51824686163121</v>
      </c>
      <c r="I9" s="18">
        <f t="shared" si="0"/>
        <v>228.51824686163121</v>
      </c>
      <c r="J9" s="44">
        <f>Results_Tank1!$M$21</f>
        <v>2.6431327407425001E-2</v>
      </c>
      <c r="L9">
        <v>7</v>
      </c>
      <c r="M9" s="25">
        <v>11.826343056775013</v>
      </c>
      <c r="N9" s="18">
        <v>549.95634602416987</v>
      </c>
      <c r="O9" s="18">
        <f t="shared" si="1"/>
        <v>548.95634602416987</v>
      </c>
      <c r="P9" s="44">
        <f>Results_Tank2!$M$21</f>
        <v>6.2862343972395068E-2</v>
      </c>
    </row>
    <row r="10" spans="1:16" x14ac:dyDescent="0.35">
      <c r="A10" s="3">
        <f t="shared" si="2"/>
        <v>5300</v>
      </c>
      <c r="C10" s="4"/>
      <c r="F10">
        <v>8</v>
      </c>
      <c r="G10" s="25">
        <v>2.864116308218196</v>
      </c>
      <c r="H10" s="18">
        <v>211.60624659571923</v>
      </c>
      <c r="I10" s="18">
        <f t="shared" si="0"/>
        <v>210.60624659571923</v>
      </c>
      <c r="J10" s="44">
        <f>Results_Tank1!$M$24</f>
        <v>2.5183954319456053E-2</v>
      </c>
      <c r="L10">
        <v>8</v>
      </c>
      <c r="M10" s="25">
        <v>11.526343056775012</v>
      </c>
      <c r="N10" s="18">
        <v>527.81548993134413</v>
      </c>
      <c r="O10" s="18">
        <f t="shared" si="1"/>
        <v>526.81548993134413</v>
      </c>
      <c r="P10" s="44">
        <f>Results_Tank2!$M$24</f>
        <v>6.2371611544754443E-2</v>
      </c>
    </row>
    <row r="11" spans="1:16" x14ac:dyDescent="0.35">
      <c r="A11" s="3">
        <f t="shared" si="2"/>
        <v>5200</v>
      </c>
      <c r="C11" s="4"/>
      <c r="F11">
        <v>9</v>
      </c>
      <c r="G11" s="25">
        <v>2.6641163082181958</v>
      </c>
      <c r="H11" s="18">
        <v>194.2224108504289</v>
      </c>
      <c r="I11" s="18">
        <f t="shared" si="0"/>
        <v>193.2224108504289</v>
      </c>
      <c r="J11" s="44">
        <f>Results_Tank1!$M$27</f>
        <v>1.7112994172116255E-2</v>
      </c>
      <c r="L11">
        <v>9</v>
      </c>
      <c r="M11" s="25">
        <v>11.226343056775011</v>
      </c>
      <c r="N11" s="18">
        <v>506.39653993696049</v>
      </c>
      <c r="O11" s="18">
        <f t="shared" si="1"/>
        <v>505.39653993696049</v>
      </c>
      <c r="P11" s="44">
        <f>Results_Tank2!$M$27</f>
        <v>6.1411671340216259E-2</v>
      </c>
    </row>
    <row r="12" spans="1:16" x14ac:dyDescent="0.35">
      <c r="A12" s="3">
        <f t="shared" si="2"/>
        <v>5100</v>
      </c>
      <c r="C12" s="4">
        <v>3</v>
      </c>
      <c r="F12">
        <v>10</v>
      </c>
      <c r="G12" s="25">
        <v>2.4641163082181956</v>
      </c>
      <c r="H12" s="18">
        <v>177.3346017392744</v>
      </c>
      <c r="I12" s="18">
        <f t="shared" si="0"/>
        <v>176.3346017392744</v>
      </c>
      <c r="J12" s="44">
        <f>Results_Tank1!$M$30</f>
        <v>1.6868423172293454E-2</v>
      </c>
      <c r="L12">
        <v>10</v>
      </c>
      <c r="M12" s="25">
        <v>10.926343056775011</v>
      </c>
      <c r="N12" s="18">
        <v>485.6622713434835</v>
      </c>
      <c r="O12" s="18">
        <f t="shared" si="1"/>
        <v>484.6622713434835</v>
      </c>
      <c r="P12" s="44">
        <f>Results_Tank2!$M$30</f>
        <v>6.0094039329464465E-2</v>
      </c>
    </row>
    <row r="13" spans="1:16" x14ac:dyDescent="0.35">
      <c r="A13" s="55">
        <f t="shared" si="2"/>
        <v>5000</v>
      </c>
      <c r="B13" s="8"/>
      <c r="C13" s="4">
        <v>2</v>
      </c>
      <c r="F13">
        <v>11</v>
      </c>
      <c r="G13" s="25">
        <v>2.2641163082181954</v>
      </c>
      <c r="H13" s="18">
        <v>160.91274361384464</v>
      </c>
      <c r="I13" s="18">
        <f t="shared" si="0"/>
        <v>159.91274361384464</v>
      </c>
      <c r="J13" s="44">
        <f>Results_Tank1!$M$33</f>
        <v>1.6529319370106252E-2</v>
      </c>
      <c r="L13">
        <v>11</v>
      </c>
      <c r="M13" s="25">
        <v>10.62634305677501</v>
      </c>
      <c r="N13" s="18">
        <v>465.57775756470414</v>
      </c>
      <c r="O13" s="18">
        <f t="shared" si="1"/>
        <v>464.57775756470414</v>
      </c>
      <c r="P13" s="44">
        <f>Results_Tank2!$M$33</f>
        <v>5.8611731896945012E-2</v>
      </c>
    </row>
    <row r="14" spans="1:16" x14ac:dyDescent="0.35">
      <c r="A14" s="3">
        <f t="shared" si="2"/>
        <v>4900</v>
      </c>
      <c r="C14" s="4"/>
      <c r="F14">
        <v>12</v>
      </c>
      <c r="G14" s="25">
        <v>2.0641163082181953</v>
      </c>
      <c r="H14" s="18">
        <v>144.92866026223132</v>
      </c>
      <c r="I14" s="18">
        <f t="shared" si="0"/>
        <v>143.92866026223132</v>
      </c>
      <c r="J14" s="44">
        <f>Results_Tank1!$M$36</f>
        <v>1.6150438832381247E-2</v>
      </c>
      <c r="L14">
        <v>12</v>
      </c>
      <c r="M14" s="25">
        <v>10.326343056775009</v>
      </c>
      <c r="N14" s="18">
        <v>446.11019547547897</v>
      </c>
      <c r="O14" s="18">
        <f t="shared" si="1"/>
        <v>445.11019547547897</v>
      </c>
      <c r="P14" s="44">
        <f>Results_Tank2!$M$36</f>
        <v>5.7102396955996046E-2</v>
      </c>
    </row>
    <row r="15" spans="1:16" x14ac:dyDescent="0.35">
      <c r="A15" s="3">
        <f t="shared" si="2"/>
        <v>4800</v>
      </c>
      <c r="C15" s="4"/>
      <c r="F15">
        <v>13</v>
      </c>
      <c r="G15" s="25">
        <v>1.8641163082181953</v>
      </c>
      <c r="H15" s="18">
        <v>129.35592729040806</v>
      </c>
      <c r="I15" s="18">
        <f t="shared" si="0"/>
        <v>128.35592729040806</v>
      </c>
      <c r="J15" s="44">
        <f>Results_Tank1!$M$39</f>
        <v>1.5718522949400002E-2</v>
      </c>
      <c r="L15">
        <v>13</v>
      </c>
      <c r="M15" s="25">
        <v>10.026343056775008</v>
      </c>
      <c r="N15" s="18">
        <v>427.22874645054156</v>
      </c>
      <c r="O15" s="18">
        <f t="shared" si="1"/>
        <v>426.22874645054156</v>
      </c>
      <c r="P15" s="44">
        <f>Results_Tank2!$M$39</f>
        <v>5.534797888908001E-2</v>
      </c>
    </row>
    <row r="16" spans="1:16" x14ac:dyDescent="0.35">
      <c r="A16" s="3">
        <f t="shared" si="2"/>
        <v>4700</v>
      </c>
      <c r="C16" s="4"/>
      <c r="F16">
        <v>14</v>
      </c>
      <c r="G16" s="25">
        <v>1.6641163082181953</v>
      </c>
      <c r="H16" s="18">
        <v>114.1697380598815</v>
      </c>
      <c r="I16" s="18">
        <f t="shared" si="0"/>
        <v>113.1697380598815</v>
      </c>
      <c r="J16" s="44">
        <f>Results_Tank1!$M$42</f>
        <v>1.5228878117813201E-2</v>
      </c>
      <c r="L16">
        <v>14</v>
      </c>
      <c r="M16" s="25">
        <v>9.7263430567750078</v>
      </c>
      <c r="N16" s="18">
        <v>408.90439147237601</v>
      </c>
      <c r="O16" s="18">
        <f t="shared" si="1"/>
        <v>407.90439147237601</v>
      </c>
      <c r="P16" s="44">
        <f>Results_Tank2!$M$42</f>
        <v>4.4804503538248046E-2</v>
      </c>
    </row>
    <row r="17" spans="1:16" x14ac:dyDescent="0.35">
      <c r="A17" s="3">
        <f t="shared" si="2"/>
        <v>4600</v>
      </c>
      <c r="C17" s="4"/>
      <c r="F17">
        <v>15</v>
      </c>
      <c r="G17" s="25">
        <v>1.4641163082181954</v>
      </c>
      <c r="H17" s="18">
        <v>99.346781751108153</v>
      </c>
      <c r="I17" s="18">
        <f t="shared" si="0"/>
        <v>98.346781751108153</v>
      </c>
      <c r="J17" s="44">
        <f>Results_Tank1!$M$45</f>
        <v>1.3918568484338451E-2</v>
      </c>
      <c r="L17">
        <v>15</v>
      </c>
      <c r="M17" s="25">
        <v>9.4263430567750071</v>
      </c>
      <c r="N17" s="18">
        <v>391.10979887653554</v>
      </c>
      <c r="O17" s="18">
        <f t="shared" si="1"/>
        <v>390.10979887653554</v>
      </c>
      <c r="P17" s="44">
        <f>Results_Tank2!$M$45</f>
        <v>4.4409251352144047E-2</v>
      </c>
    </row>
    <row r="18" spans="1:16" x14ac:dyDescent="0.35">
      <c r="A18" s="3">
        <f t="shared" si="2"/>
        <v>4500</v>
      </c>
      <c r="C18" s="4"/>
      <c r="F18">
        <v>16</v>
      </c>
      <c r="G18" s="25">
        <v>1.2641163082181954</v>
      </c>
      <c r="H18" s="18">
        <v>84.865132292127598</v>
      </c>
      <c r="I18" s="18">
        <f t="shared" si="0"/>
        <v>83.865132292127598</v>
      </c>
      <c r="J18" s="44">
        <f>Results_Tank1!$M$48</f>
        <v>8.4924174521000019E-3</v>
      </c>
      <c r="L18">
        <v>16</v>
      </c>
      <c r="M18" s="25">
        <v>9.1263430567750063</v>
      </c>
      <c r="N18" s="18">
        <v>373.81920346689276</v>
      </c>
      <c r="O18" s="18">
        <f t="shared" si="1"/>
        <v>372.81920346689276</v>
      </c>
      <c r="P18" s="44">
        <f>Results_Tank2!$M$48</f>
        <v>4.4004454433992202E-2</v>
      </c>
    </row>
    <row r="19" spans="1:16" x14ac:dyDescent="0.35">
      <c r="A19" s="3">
        <f t="shared" si="2"/>
        <v>4400</v>
      </c>
      <c r="C19" s="4"/>
      <c r="F19">
        <v>17</v>
      </c>
      <c r="G19" s="25">
        <v>1.0641163082181955</v>
      </c>
      <c r="H19" s="18">
        <v>70.704147039431305</v>
      </c>
      <c r="I19" s="18">
        <f t="shared" si="0"/>
        <v>69.704147039431305</v>
      </c>
      <c r="J19" s="44">
        <f>Results_Tank1!$M$51</f>
        <v>7.3587880995999999E-3</v>
      </c>
      <c r="L19">
        <v>17</v>
      </c>
      <c r="M19" s="25">
        <v>8.8263430567750056</v>
      </c>
      <c r="N19" s="18">
        <v>357.00829587654755</v>
      </c>
      <c r="O19" s="18">
        <f t="shared" si="1"/>
        <v>356.00829587654755</v>
      </c>
      <c r="P19" s="44">
        <f>Results_Tank2!$M$51</f>
        <v>4.3593238097373817E-2</v>
      </c>
    </row>
    <row r="20" spans="1:16" x14ac:dyDescent="0.35">
      <c r="A20" s="3">
        <f t="shared" si="2"/>
        <v>4300</v>
      </c>
      <c r="C20" s="4"/>
      <c r="F20">
        <v>18</v>
      </c>
      <c r="G20" s="25">
        <v>0.86411630821819552</v>
      </c>
      <c r="H20" s="18">
        <v>56.844374226503909</v>
      </c>
      <c r="I20" s="18">
        <f t="shared" si="0"/>
        <v>55.844374226503909</v>
      </c>
      <c r="J20" s="44">
        <f>Results_Tank1!$M$54</f>
        <v>6.8555098759070501E-3</v>
      </c>
      <c r="L20">
        <v>18</v>
      </c>
      <c r="M20" s="25">
        <v>8.5263430567750049</v>
      </c>
      <c r="N20" s="18">
        <v>340.65412117539228</v>
      </c>
      <c r="O20" s="18">
        <f t="shared" si="1"/>
        <v>339.65412117539228</v>
      </c>
      <c r="P20" s="44">
        <f>Results_Tank2!$M$54</f>
        <v>4.3162174163778801E-2</v>
      </c>
    </row>
    <row r="21" spans="1:16" x14ac:dyDescent="0.35">
      <c r="A21" s="3">
        <f t="shared" si="2"/>
        <v>4200</v>
      </c>
      <c r="C21" s="4"/>
      <c r="F21">
        <v>19</v>
      </c>
      <c r="G21" s="25">
        <v>0.66411630821819556</v>
      </c>
      <c r="H21" s="18">
        <v>43.267468307457101</v>
      </c>
      <c r="I21" s="18">
        <f t="shared" si="0"/>
        <v>42.267468307457101</v>
      </c>
      <c r="J21" s="44">
        <f>Results_Tank1!$M$57</f>
        <v>6.3987880480858E-3</v>
      </c>
      <c r="L21">
        <v>19</v>
      </c>
      <c r="M21" s="25">
        <v>8.2263430567750042</v>
      </c>
      <c r="N21" s="18">
        <v>324.73498583514112</v>
      </c>
      <c r="O21" s="18">
        <f t="shared" si="1"/>
        <v>323.73498583514112</v>
      </c>
      <c r="P21" s="44">
        <f>Results_Tank2!$M$57</f>
        <v>4.2706910973843042E-2</v>
      </c>
    </row>
    <row r="22" spans="1:16" x14ac:dyDescent="0.35">
      <c r="A22" s="3">
        <f t="shared" si="2"/>
        <v>4100</v>
      </c>
      <c r="C22" s="4"/>
      <c r="F22">
        <v>20</v>
      </c>
      <c r="G22" s="25">
        <v>0.46411630821819555</v>
      </c>
      <c r="H22" s="18">
        <v>29.95611242103228</v>
      </c>
      <c r="I22" s="18">
        <f t="shared" si="0"/>
        <v>28.95611242103228</v>
      </c>
      <c r="J22" s="44">
        <f>Results_Tank1!$M$60</f>
        <v>3.5558527040617997E-3</v>
      </c>
      <c r="L22">
        <v>20</v>
      </c>
      <c r="M22" s="25">
        <v>7.9263430567750044</v>
      </c>
      <c r="N22" s="18">
        <v>309.23037225901464</v>
      </c>
      <c r="O22" s="18">
        <f t="shared" si="1"/>
        <v>308.23037225901464</v>
      </c>
      <c r="P22" s="44">
        <f>Results_Tank2!$M$60</f>
        <v>4.2270862719996201E-2</v>
      </c>
    </row>
    <row r="23" spans="1:16" x14ac:dyDescent="0.35">
      <c r="A23" s="55">
        <f t="shared" si="2"/>
        <v>4000</v>
      </c>
      <c r="B23" s="8"/>
      <c r="C23" s="4">
        <v>1</v>
      </c>
      <c r="F23">
        <v>21</v>
      </c>
      <c r="G23" s="25">
        <v>0.26411630821819554</v>
      </c>
      <c r="H23" s="18">
        <v>16.89394728592924</v>
      </c>
      <c r="I23" s="18">
        <f t="shared" si="0"/>
        <v>15.89394728592924</v>
      </c>
      <c r="J23" s="44">
        <f>Results_Tank1!$M$63</f>
        <v>2.0816616882282004E-3</v>
      </c>
      <c r="L23">
        <v>21</v>
      </c>
      <c r="M23" s="25">
        <v>7.6263430567750046</v>
      </c>
      <c r="N23" s="18">
        <v>294.12086016808445</v>
      </c>
      <c r="O23" s="18">
        <f t="shared" si="1"/>
        <v>293.12086016808445</v>
      </c>
      <c r="P23" s="44">
        <f>Results_Tank2!$M$63</f>
        <v>4.1830627046004994E-2</v>
      </c>
    </row>
    <row r="24" spans="1:16" x14ac:dyDescent="0.35">
      <c r="A24" s="3">
        <f t="shared" si="2"/>
        <v>3900</v>
      </c>
      <c r="C24" s="4">
        <v>1</v>
      </c>
      <c r="F24">
        <v>22</v>
      </c>
      <c r="G24" s="26">
        <v>6.4116308218195528E-2</v>
      </c>
      <c r="H24" s="27">
        <v>4.0655059135828351</v>
      </c>
      <c r="I24" s="27">
        <f t="shared" si="0"/>
        <v>3.0655059135828351</v>
      </c>
      <c r="J24" s="45">
        <f>Results_Tank1!$M$66</f>
        <v>0</v>
      </c>
      <c r="L24">
        <v>22</v>
      </c>
      <c r="M24" s="25">
        <v>7.3263430567750047</v>
      </c>
      <c r="N24" s="18">
        <v>279.38805421100625</v>
      </c>
      <c r="O24" s="18">
        <f t="shared" si="1"/>
        <v>278.38805421100625</v>
      </c>
      <c r="P24" s="44">
        <f>Results_Tank2!$M$66</f>
        <v>4.1383334280108208E-2</v>
      </c>
    </row>
    <row r="25" spans="1:16" x14ac:dyDescent="0.35">
      <c r="A25" s="3">
        <f t="shared" si="2"/>
        <v>3800</v>
      </c>
      <c r="C25" s="4">
        <v>1</v>
      </c>
      <c r="L25">
        <v>23</v>
      </c>
      <c r="M25" s="25">
        <v>7.0263430567750049</v>
      </c>
      <c r="N25" s="18">
        <v>265.01451722984677</v>
      </c>
      <c r="O25" s="18">
        <f t="shared" si="1"/>
        <v>264.01451722984677</v>
      </c>
      <c r="P25" s="44">
        <f>Results_Tank2!$M$69</f>
        <v>4.0654397138199211E-2</v>
      </c>
    </row>
    <row r="26" spans="1:16" x14ac:dyDescent="0.35">
      <c r="A26" s="3">
        <f t="shared" si="2"/>
        <v>3700</v>
      </c>
      <c r="C26" s="4">
        <v>1</v>
      </c>
      <c r="I26" s="18"/>
      <c r="L26">
        <v>24</v>
      </c>
      <c r="M26" s="25">
        <v>6.7263430567750051</v>
      </c>
      <c r="N26" s="18">
        <v>250.98370867304567</v>
      </c>
      <c r="O26" s="18">
        <f t="shared" si="1"/>
        <v>249.98370867304567</v>
      </c>
      <c r="P26" s="44">
        <f>Results_Tank2!$M$72</f>
        <v>3.8640900999798056E-2</v>
      </c>
    </row>
    <row r="27" spans="1:16" x14ac:dyDescent="0.35">
      <c r="A27" s="3">
        <f t="shared" si="2"/>
        <v>3600</v>
      </c>
      <c r="C27" s="4">
        <v>1</v>
      </c>
      <c r="I27" s="18"/>
      <c r="L27">
        <v>25</v>
      </c>
      <c r="M27" s="25">
        <v>6.4263430567750053</v>
      </c>
      <c r="N27" s="18">
        <v>237.27992769823427</v>
      </c>
      <c r="O27" s="18">
        <f t="shared" si="1"/>
        <v>236.27992769823427</v>
      </c>
      <c r="P27" s="44">
        <f>Results_Tank2!$M$75</f>
        <v>3.6013346879469804E-2</v>
      </c>
    </row>
    <row r="28" spans="1:16" x14ac:dyDescent="0.35">
      <c r="A28" s="3">
        <f t="shared" si="2"/>
        <v>3500</v>
      </c>
      <c r="C28" s="4">
        <v>1</v>
      </c>
      <c r="I28" s="18"/>
      <c r="L28">
        <v>26</v>
      </c>
      <c r="M28" s="25">
        <v>6.1263430567750055</v>
      </c>
      <c r="N28" s="18">
        <v>223.88826055347673</v>
      </c>
      <c r="O28" s="18">
        <f t="shared" si="1"/>
        <v>222.88826055347673</v>
      </c>
      <c r="P28" s="44">
        <f>Results_Tank2!$M$78</f>
        <v>2.7923916569745053E-2</v>
      </c>
    </row>
    <row r="29" spans="1:16" x14ac:dyDescent="0.35">
      <c r="A29" s="3">
        <f t="shared" si="2"/>
        <v>3400</v>
      </c>
      <c r="C29" s="4"/>
      <c r="I29" s="18"/>
      <c r="L29">
        <v>27</v>
      </c>
      <c r="M29" s="25">
        <v>5.8263430567750056</v>
      </c>
      <c r="N29" s="18">
        <v>210.7945318662405</v>
      </c>
      <c r="O29" s="18">
        <f t="shared" si="1"/>
        <v>209.7945318662405</v>
      </c>
      <c r="P29" s="44">
        <f>Results_Tank2!$M$81</f>
        <v>2.7529563275334446E-2</v>
      </c>
    </row>
    <row r="30" spans="1:16" x14ac:dyDescent="0.35">
      <c r="A30" s="3">
        <f t="shared" si="2"/>
        <v>3300</v>
      </c>
      <c r="C30" s="4"/>
      <c r="E30" t="s">
        <v>88</v>
      </c>
      <c r="I30" s="18"/>
      <c r="L30">
        <v>28</v>
      </c>
      <c r="M30" s="25">
        <v>5.5263430567750058</v>
      </c>
      <c r="N30" s="18">
        <v>197.98525950566162</v>
      </c>
      <c r="O30" s="18">
        <f t="shared" si="1"/>
        <v>196.98525950566162</v>
      </c>
      <c r="P30" s="44">
        <f>Results_Tank2!$M$84</f>
        <v>2.7117558524563195E-2</v>
      </c>
    </row>
    <row r="31" spans="1:16" x14ac:dyDescent="0.35">
      <c r="A31" s="3">
        <f t="shared" si="2"/>
        <v>3200</v>
      </c>
      <c r="C31" s="4"/>
      <c r="I31" s="18"/>
      <c r="L31">
        <v>29</v>
      </c>
      <c r="M31" s="25">
        <v>5.226343056775006</v>
      </c>
      <c r="N31" s="18">
        <v>185.44761271598315</v>
      </c>
      <c r="O31" s="18">
        <f t="shared" si="1"/>
        <v>184.44761271598315</v>
      </c>
      <c r="P31" s="44">
        <f>Results_Tank2!$M$87</f>
        <v>2.6691205473764204E-2</v>
      </c>
    </row>
    <row r="32" spans="1:16" x14ac:dyDescent="0.35">
      <c r="A32" s="3">
        <f t="shared" si="2"/>
        <v>3100</v>
      </c>
      <c r="C32" s="4"/>
      <c r="L32">
        <v>30</v>
      </c>
      <c r="M32" s="25">
        <v>4.9263430567750062</v>
      </c>
      <c r="N32" s="18">
        <v>173.16937324789305</v>
      </c>
      <c r="O32" s="18">
        <f t="shared" si="1"/>
        <v>172.16937324789305</v>
      </c>
      <c r="P32" s="44">
        <f>Results_Tank2!$M$90</f>
        <v>2.6241698396305205E-2</v>
      </c>
    </row>
    <row r="33" spans="1:16" x14ac:dyDescent="0.35">
      <c r="A33" s="55">
        <f t="shared" si="2"/>
        <v>3000</v>
      </c>
      <c r="B33" s="8"/>
      <c r="C33" s="4">
        <v>0.5</v>
      </c>
      <c r="L33">
        <v>31</v>
      </c>
      <c r="M33" s="25">
        <v>4.6263430567750063</v>
      </c>
      <c r="N33" s="18">
        <v>161.1388992402681</v>
      </c>
      <c r="O33" s="18">
        <f t="shared" si="1"/>
        <v>160.1388992402681</v>
      </c>
      <c r="P33" s="44">
        <f>Results_Tank2!$M$93</f>
        <v>2.5807259097699452E-2</v>
      </c>
    </row>
    <row r="34" spans="1:16" x14ac:dyDescent="0.35">
      <c r="A34" s="3">
        <f t="shared" si="2"/>
        <v>2900</v>
      </c>
      <c r="C34" s="4"/>
      <c r="L34">
        <v>32</v>
      </c>
      <c r="M34" s="25">
        <v>4.3263430567750065</v>
      </c>
      <c r="N34" s="18">
        <v>149.34509162791232</v>
      </c>
      <c r="O34" s="18">
        <f t="shared" si="1"/>
        <v>148.34509162791232</v>
      </c>
      <c r="P34" s="44">
        <f>Results_Tank2!$M$96</f>
        <v>2.5371123854646453E-2</v>
      </c>
    </row>
    <row r="35" spans="1:16" x14ac:dyDescent="0.35">
      <c r="A35" s="3">
        <f t="shared" si="2"/>
        <v>2800</v>
      </c>
      <c r="C35" s="4"/>
      <c r="L35">
        <v>33</v>
      </c>
      <c r="M35" s="25">
        <v>4.0263430567750067</v>
      </c>
      <c r="N35" s="18">
        <v>137.77736287155932</v>
      </c>
      <c r="O35" s="18">
        <f t="shared" si="1"/>
        <v>136.77736287155932</v>
      </c>
      <c r="P35" s="44">
        <f>Results_Tank2!$M$99</f>
        <v>2.4261130128114053E-2</v>
      </c>
    </row>
    <row r="36" spans="1:16" x14ac:dyDescent="0.35">
      <c r="A36" s="3">
        <f t="shared" si="2"/>
        <v>2700</v>
      </c>
      <c r="C36" s="4"/>
      <c r="L36">
        <v>34</v>
      </c>
      <c r="M36" s="25">
        <v>3.7263430567750069</v>
      </c>
      <c r="N36" s="18">
        <v>126.4256078249762</v>
      </c>
      <c r="O36" s="18">
        <f t="shared" si="1"/>
        <v>125.4256078249762</v>
      </c>
      <c r="P36" s="44">
        <f>Results_Tank2!$M$102</f>
        <v>1.564436204058E-2</v>
      </c>
    </row>
    <row r="37" spans="1:16" x14ac:dyDescent="0.35">
      <c r="A37" s="3">
        <f t="shared" si="2"/>
        <v>2600</v>
      </c>
      <c r="C37" s="4"/>
      <c r="L37">
        <v>35</v>
      </c>
      <c r="M37" s="25">
        <v>3.4263430567750071</v>
      </c>
      <c r="N37" s="18">
        <v>115.28017657068806</v>
      </c>
      <c r="O37" s="18">
        <f t="shared" si="1"/>
        <v>114.28017657068806</v>
      </c>
      <c r="P37" s="44">
        <f>Results_Tank2!$M$105</f>
        <v>1.5281589779534801E-2</v>
      </c>
    </row>
    <row r="38" spans="1:16" x14ac:dyDescent="0.35">
      <c r="A38" s="3">
        <f t="shared" si="2"/>
        <v>2500</v>
      </c>
      <c r="C38" s="4"/>
      <c r="L38">
        <v>36</v>
      </c>
      <c r="M38" s="25">
        <v>3.1263430567750072</v>
      </c>
      <c r="N38" s="18">
        <v>104.33184907085308</v>
      </c>
      <c r="O38" s="18">
        <f t="shared" si="1"/>
        <v>103.33184907085308</v>
      </c>
      <c r="P38" s="44">
        <f>Results_Tank2!$M$108</f>
        <v>1.4897389050885E-2</v>
      </c>
    </row>
    <row r="39" spans="1:16" x14ac:dyDescent="0.35">
      <c r="A39" s="3">
        <f t="shared" si="2"/>
        <v>2400</v>
      </c>
      <c r="C39" s="4"/>
      <c r="L39">
        <v>37</v>
      </c>
      <c r="M39" s="25">
        <v>2.8263430567750074</v>
      </c>
      <c r="N39" s="18">
        <v>93.571811493340789</v>
      </c>
      <c r="O39" s="18">
        <f t="shared" si="1"/>
        <v>92.571811493340789</v>
      </c>
      <c r="P39" s="44">
        <f>Results_Tank2!$M$111</f>
        <v>1.4493487545741052E-2</v>
      </c>
    </row>
    <row r="40" spans="1:16" x14ac:dyDescent="0.35">
      <c r="A40" s="3">
        <f t="shared" si="2"/>
        <v>2300</v>
      </c>
      <c r="C40" s="4"/>
      <c r="L40">
        <v>38</v>
      </c>
      <c r="M40" s="25">
        <v>2.5263430567750076</v>
      </c>
      <c r="N40" s="18">
        <v>82.991634085263783</v>
      </c>
      <c r="O40" s="18">
        <f t="shared" si="1"/>
        <v>81.991634085263783</v>
      </c>
      <c r="P40" s="44">
        <f>Results_Tank2!$M$114</f>
        <v>1.408526947694105E-2</v>
      </c>
    </row>
    <row r="41" spans="1:16" x14ac:dyDescent="0.35">
      <c r="A41" s="3">
        <f t="shared" si="2"/>
        <v>2200</v>
      </c>
      <c r="C41" s="4"/>
      <c r="L41">
        <v>39</v>
      </c>
      <c r="M41" s="25">
        <v>2.2263430567750078</v>
      </c>
      <c r="N41" s="18">
        <v>72.583250477226343</v>
      </c>
      <c r="O41" s="18">
        <f t="shared" si="1"/>
        <v>71.583250477226343</v>
      </c>
      <c r="P41" s="44">
        <f>Results_Tank2!$M$117</f>
        <v>1.366063884151005E-2</v>
      </c>
    </row>
    <row r="42" spans="1:16" x14ac:dyDescent="0.35">
      <c r="A42" s="3">
        <f t="shared" si="2"/>
        <v>2100</v>
      </c>
      <c r="C42" s="4"/>
      <c r="L42">
        <v>40</v>
      </c>
      <c r="M42" s="25">
        <v>1.9263430567750077</v>
      </c>
      <c r="N42" s="18">
        <v>62.338938311510539</v>
      </c>
      <c r="O42" s="18">
        <f t="shared" si="1"/>
        <v>61.338938311510539</v>
      </c>
      <c r="P42" s="44">
        <f>Results_Tank2!$M$120</f>
        <v>7.9551379888412512E-3</v>
      </c>
    </row>
    <row r="43" spans="1:16" x14ac:dyDescent="0.35">
      <c r="A43" s="3">
        <f t="shared" si="2"/>
        <v>2000</v>
      </c>
      <c r="C43" s="4"/>
      <c r="L43">
        <v>41</v>
      </c>
      <c r="M43" s="25">
        <v>1.6263430567750077</v>
      </c>
      <c r="N43" s="18">
        <v>52.251301096432691</v>
      </c>
      <c r="O43" s="18">
        <f t="shared" si="1"/>
        <v>51.251301096432691</v>
      </c>
      <c r="P43" s="44">
        <f>Results_Tank2!$M$123</f>
        <v>6.8386042385862504E-3</v>
      </c>
    </row>
    <row r="44" spans="1:16" x14ac:dyDescent="0.35">
      <c r="A44" s="3">
        <f t="shared" si="2"/>
        <v>1900</v>
      </c>
      <c r="C44" s="4"/>
      <c r="L44">
        <v>42</v>
      </c>
      <c r="M44" s="25">
        <v>1.3263430567750076</v>
      </c>
      <c r="N44" s="18">
        <v>42.313251197267093</v>
      </c>
      <c r="O44" s="18">
        <f t="shared" si="1"/>
        <v>41.313251197267093</v>
      </c>
      <c r="P44" s="44">
        <f>Results_Tank2!$M$126</f>
        <v>6.3739366591692012E-3</v>
      </c>
    </row>
    <row r="45" spans="1:16" x14ac:dyDescent="0.35">
      <c r="A45" s="3">
        <f t="shared" si="2"/>
        <v>1800</v>
      </c>
      <c r="C45" s="4"/>
      <c r="L45">
        <v>43</v>
      </c>
      <c r="M45" s="25">
        <v>1.0263430567750076</v>
      </c>
      <c r="N45" s="18">
        <v>32.517993881540832</v>
      </c>
      <c r="O45" s="18">
        <f t="shared" si="1"/>
        <v>31.517993881540832</v>
      </c>
      <c r="P45" s="44">
        <f>Results_Tank2!$M$129</f>
        <v>6.0209782856854516E-3</v>
      </c>
    </row>
    <row r="46" spans="1:16" x14ac:dyDescent="0.35">
      <c r="A46" s="3">
        <f t="shared" si="2"/>
        <v>1700</v>
      </c>
      <c r="C46" s="4"/>
      <c r="L46">
        <v>44</v>
      </c>
      <c r="M46" s="25">
        <v>0.72634305677500755</v>
      </c>
      <c r="N46" s="18">
        <v>22.859012343226638</v>
      </c>
      <c r="O46" s="18">
        <f t="shared" si="1"/>
        <v>21.859012343226638</v>
      </c>
      <c r="P46" s="44">
        <f>Results_Tank2!$M$132</f>
        <v>3.4349319612050002E-3</v>
      </c>
    </row>
    <row r="47" spans="1:16" x14ac:dyDescent="0.35">
      <c r="A47" s="3">
        <f t="shared" si="2"/>
        <v>1600</v>
      </c>
      <c r="C47" s="4"/>
      <c r="L47">
        <v>45</v>
      </c>
      <c r="M47" s="25">
        <v>0.42634305677500756</v>
      </c>
      <c r="N47" s="18">
        <v>13.33005363647324</v>
      </c>
      <c r="O47" s="18">
        <f t="shared" si="1"/>
        <v>12.33005363647324</v>
      </c>
      <c r="P47" s="44">
        <f>Results_Tank2!$M$135</f>
        <v>2.3872548371312004E-3</v>
      </c>
    </row>
    <row r="48" spans="1:16" x14ac:dyDescent="0.35">
      <c r="A48" s="3">
        <f t="shared" si="2"/>
        <v>1500</v>
      </c>
      <c r="C48" s="4"/>
      <c r="L48">
        <v>46</v>
      </c>
      <c r="M48" s="26">
        <v>0.12634305677500757</v>
      </c>
      <c r="N48" s="27">
        <v>3.9251154550725875</v>
      </c>
      <c r="O48" s="18">
        <f t="shared" si="1"/>
        <v>2.9251154550725875</v>
      </c>
      <c r="P48" s="45">
        <f>Results_Tank2!$M$138</f>
        <v>6.7946893066679994E-4</v>
      </c>
    </row>
    <row r="49" spans="1:3" x14ac:dyDescent="0.35">
      <c r="A49" s="3">
        <f t="shared" si="2"/>
        <v>1400</v>
      </c>
      <c r="C49" s="4"/>
    </row>
    <row r="50" spans="1:3" x14ac:dyDescent="0.35">
      <c r="A50" s="3">
        <f t="shared" si="2"/>
        <v>1300</v>
      </c>
      <c r="C50" s="4"/>
    </row>
    <row r="51" spans="1:3" x14ac:dyDescent="0.35">
      <c r="A51" s="3">
        <f t="shared" si="2"/>
        <v>1200</v>
      </c>
      <c r="C51" s="4"/>
    </row>
    <row r="52" spans="1:3" x14ac:dyDescent="0.35">
      <c r="A52" s="3">
        <f t="shared" si="2"/>
        <v>1100</v>
      </c>
      <c r="C52" s="4"/>
    </row>
    <row r="53" spans="1:3" x14ac:dyDescent="0.35">
      <c r="A53" s="3">
        <f t="shared" si="2"/>
        <v>1000</v>
      </c>
      <c r="C53" s="4"/>
    </row>
    <row r="54" spans="1:3" x14ac:dyDescent="0.35">
      <c r="A54" s="3">
        <f t="shared" si="2"/>
        <v>900</v>
      </c>
      <c r="C54" s="4"/>
    </row>
    <row r="55" spans="1:3" x14ac:dyDescent="0.35">
      <c r="A55" s="3">
        <f t="shared" si="2"/>
        <v>800</v>
      </c>
      <c r="C55" s="4"/>
    </row>
    <row r="56" spans="1:3" x14ac:dyDescent="0.35">
      <c r="A56" s="3">
        <f t="shared" si="2"/>
        <v>700</v>
      </c>
      <c r="C56" s="4"/>
    </row>
    <row r="57" spans="1:3" x14ac:dyDescent="0.35">
      <c r="A57" s="3">
        <f t="shared" si="2"/>
        <v>600</v>
      </c>
      <c r="C57" s="4"/>
    </row>
    <row r="58" spans="1:3" x14ac:dyDescent="0.35">
      <c r="A58" s="3">
        <f t="shared" si="2"/>
        <v>500</v>
      </c>
      <c r="C58" s="4"/>
    </row>
    <row r="59" spans="1:3" x14ac:dyDescent="0.35">
      <c r="A59" s="3">
        <f t="shared" si="2"/>
        <v>400</v>
      </c>
      <c r="C59" s="4"/>
    </row>
    <row r="60" spans="1:3" x14ac:dyDescent="0.35">
      <c r="A60" s="3">
        <f t="shared" si="2"/>
        <v>300</v>
      </c>
      <c r="C60" s="4"/>
    </row>
    <row r="61" spans="1:3" x14ac:dyDescent="0.35">
      <c r="A61" s="3">
        <f t="shared" si="2"/>
        <v>200</v>
      </c>
      <c r="C61" s="4"/>
    </row>
    <row r="62" spans="1:3" x14ac:dyDescent="0.35">
      <c r="A62" s="3">
        <f t="shared" si="2"/>
        <v>100</v>
      </c>
      <c r="C62" s="4"/>
    </row>
    <row r="63" spans="1:3" x14ac:dyDescent="0.35">
      <c r="A63" s="3">
        <f t="shared" si="2"/>
        <v>0</v>
      </c>
      <c r="C63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A3CD1-5C58-4B15-9688-BBA2B33B228D}">
  <dimension ref="A1:F17"/>
  <sheetViews>
    <sheetView zoomScale="117" workbookViewId="0">
      <selection activeCell="E5" sqref="E5"/>
    </sheetView>
  </sheetViews>
  <sheetFormatPr defaultRowHeight="14.5" x14ac:dyDescent="0.35"/>
  <cols>
    <col min="1" max="1" width="28.08984375" bestFit="1" customWidth="1"/>
    <col min="2" max="2" width="12.36328125" bestFit="1" customWidth="1"/>
    <col min="3" max="3" width="7" bestFit="1" customWidth="1"/>
    <col min="4" max="4" width="23.6328125" bestFit="1" customWidth="1"/>
    <col min="5" max="5" width="22.453125" bestFit="1" customWidth="1"/>
  </cols>
  <sheetData>
    <row r="1" spans="1:6" x14ac:dyDescent="0.35">
      <c r="A1" s="28" t="s">
        <v>48</v>
      </c>
      <c r="B1" s="28" t="s">
        <v>49</v>
      </c>
      <c r="C1" s="28" t="s">
        <v>50</v>
      </c>
      <c r="D1" s="28" t="s">
        <v>51</v>
      </c>
      <c r="E1" s="28" t="s">
        <v>52</v>
      </c>
      <c r="F1" s="28" t="s">
        <v>85</v>
      </c>
    </row>
    <row r="2" spans="1:6" x14ac:dyDescent="0.35">
      <c r="A2" s="28" t="s">
        <v>53</v>
      </c>
      <c r="B2" s="28" t="s">
        <v>54</v>
      </c>
      <c r="C2" s="29">
        <v>1</v>
      </c>
      <c r="D2" s="29" t="s">
        <v>56</v>
      </c>
      <c r="E2" s="30">
        <v>4.9999999999999998E-7</v>
      </c>
    </row>
    <row r="3" spans="1:6" x14ac:dyDescent="0.35">
      <c r="A3" s="29"/>
      <c r="B3" s="29"/>
      <c r="C3" s="29">
        <v>2</v>
      </c>
      <c r="D3" s="29" t="s">
        <v>55</v>
      </c>
      <c r="E3" s="30">
        <v>1.0000000000000001E-5</v>
      </c>
    </row>
    <row r="4" spans="1:6" x14ac:dyDescent="0.35">
      <c r="A4" s="29"/>
      <c r="B4" s="29"/>
      <c r="C4" s="29">
        <v>3</v>
      </c>
      <c r="D4" s="29" t="s">
        <v>84</v>
      </c>
      <c r="E4" s="30">
        <v>4.9999999999999998E-7</v>
      </c>
    </row>
    <row r="6" spans="1:6" x14ac:dyDescent="0.35">
      <c r="A6" s="32" t="s">
        <v>57</v>
      </c>
      <c r="B6" s="32"/>
      <c r="C6" s="33"/>
      <c r="D6" s="33"/>
    </row>
    <row r="7" spans="1:6" x14ac:dyDescent="0.35">
      <c r="A7" s="33" t="s">
        <v>58</v>
      </c>
      <c r="B7" s="33"/>
      <c r="C7" s="34" t="s">
        <v>59</v>
      </c>
      <c r="D7" s="33"/>
    </row>
    <row r="8" spans="1:6" x14ac:dyDescent="0.35">
      <c r="A8" s="33" t="s">
        <v>60</v>
      </c>
      <c r="B8" s="33"/>
      <c r="C8" s="33">
        <v>7</v>
      </c>
      <c r="D8" s="33" t="s">
        <v>61</v>
      </c>
    </row>
    <row r="9" spans="1:6" x14ac:dyDescent="0.35">
      <c r="A9" s="33" t="s">
        <v>62</v>
      </c>
      <c r="B9" s="33"/>
      <c r="C9" s="33">
        <v>7</v>
      </c>
      <c r="D9" s="33" t="s">
        <v>61</v>
      </c>
      <c r="E9" t="s">
        <v>86</v>
      </c>
    </row>
    <row r="10" spans="1:6" x14ac:dyDescent="0.35">
      <c r="A10" s="33" t="s">
        <v>63</v>
      </c>
      <c r="B10" s="33"/>
      <c r="C10" s="33">
        <v>7</v>
      </c>
      <c r="D10" s="33" t="s">
        <v>61</v>
      </c>
    </row>
    <row r="11" spans="1:6" x14ac:dyDescent="0.35">
      <c r="A11" s="33" t="s">
        <v>64</v>
      </c>
      <c r="B11" s="33"/>
      <c r="C11" s="33">
        <v>0.14000000000000001</v>
      </c>
      <c r="D11" s="33" t="s">
        <v>65</v>
      </c>
    </row>
    <row r="15" spans="1:6" x14ac:dyDescent="0.35">
      <c r="D15" s="29"/>
      <c r="E15" s="30"/>
    </row>
    <row r="16" spans="1:6" x14ac:dyDescent="0.35">
      <c r="D16" s="29"/>
      <c r="E16" s="30"/>
    </row>
    <row r="17" spans="4:5" x14ac:dyDescent="0.35">
      <c r="D17" s="29"/>
      <c r="E17" s="3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171F3-9083-4A06-B12A-3AE8DAF27BF1}">
  <dimension ref="A1:M68"/>
  <sheetViews>
    <sheetView zoomScale="102" workbookViewId="0">
      <selection activeCell="M2" sqref="M2"/>
    </sheetView>
  </sheetViews>
  <sheetFormatPr defaultRowHeight="14.5" x14ac:dyDescent="0.35"/>
  <cols>
    <col min="1" max="1" width="9.08984375"/>
    <col min="4" max="4" width="18.54296875" bestFit="1" customWidth="1"/>
    <col min="5" max="5" width="22.453125" bestFit="1" customWidth="1"/>
    <col min="7" max="7" width="15.90625" bestFit="1" customWidth="1"/>
    <col min="8" max="8" width="13.08984375" bestFit="1" customWidth="1"/>
    <col min="9" max="9" width="14.08984375" bestFit="1" customWidth="1"/>
    <col min="10" max="10" width="9.54296875" bestFit="1" customWidth="1"/>
    <col min="11" max="11" width="12.90625" bestFit="1" customWidth="1"/>
    <col min="12" max="12" width="8.453125" bestFit="1" customWidth="1"/>
    <col min="13" max="13" width="35.453125" style="31" bestFit="1" customWidth="1"/>
  </cols>
  <sheetData>
    <row r="1" spans="1:13" x14ac:dyDescent="0.35">
      <c r="C1" s="81" t="s">
        <v>78</v>
      </c>
      <c r="D1" s="81"/>
      <c r="E1" s="35" t="s">
        <v>66</v>
      </c>
      <c r="G1" s="81" t="s">
        <v>67</v>
      </c>
      <c r="H1" s="81"/>
      <c r="I1" s="81"/>
      <c r="J1" s="81"/>
      <c r="K1" s="81"/>
      <c r="L1" s="81"/>
      <c r="M1" s="41" t="s">
        <v>68</v>
      </c>
    </row>
    <row r="2" spans="1:13" ht="15" thickBot="1" x14ac:dyDescent="0.4">
      <c r="A2" t="s">
        <v>81</v>
      </c>
      <c r="B2" s="9" t="s">
        <v>89</v>
      </c>
      <c r="C2" t="s">
        <v>80</v>
      </c>
      <c r="D2" s="9" t="s">
        <v>69</v>
      </c>
      <c r="E2" s="9" t="s">
        <v>70</v>
      </c>
      <c r="G2" t="s">
        <v>71</v>
      </c>
      <c r="H2" t="s">
        <v>72</v>
      </c>
      <c r="I2" t="s">
        <v>73</v>
      </c>
      <c r="J2" t="s">
        <v>74</v>
      </c>
      <c r="K2" t="s">
        <v>75</v>
      </c>
      <c r="L2" t="s">
        <v>76</v>
      </c>
      <c r="M2" s="42" t="s">
        <v>77</v>
      </c>
    </row>
    <row r="3" spans="1:13" x14ac:dyDescent="0.35">
      <c r="A3">
        <v>1</v>
      </c>
      <c r="B3" s="18">
        <f>'UHI analysis'!G3</f>
        <v>4.2641163082181972</v>
      </c>
      <c r="C3" s="18">
        <f>'UHI analysis'!H3</f>
        <v>350.19091589631654</v>
      </c>
      <c r="D3" t="str">
        <f>'Credit factor'!$D$2</f>
        <v>Catastrophic failure</v>
      </c>
      <c r="E3" s="31">
        <f>'Credit factor'!$E$2</f>
        <v>4.9999999999999998E-7</v>
      </c>
      <c r="G3" s="46">
        <v>7.2201199999999996</v>
      </c>
      <c r="H3" s="47"/>
      <c r="I3" s="47">
        <v>31.8428</v>
      </c>
      <c r="J3" s="48"/>
      <c r="K3">
        <f>MAX(G3:J3)</f>
        <v>31.8428</v>
      </c>
      <c r="L3" s="38">
        <f>+K3^2*E3</f>
        <v>5.0698195592000005E-4</v>
      </c>
      <c r="M3" s="40">
        <f>+SUM(L3:L5)</f>
        <v>3.0187117746282452E-2</v>
      </c>
    </row>
    <row r="4" spans="1:13" x14ac:dyDescent="0.35">
      <c r="D4" t="str">
        <f>'Credit factor'!$D$3</f>
        <v>10 mm leak</v>
      </c>
      <c r="E4" s="31">
        <f>'Credit factor'!$E$3</f>
        <v>1.0000000000000001E-5</v>
      </c>
      <c r="G4" s="49">
        <v>46.566400000000002</v>
      </c>
      <c r="H4" s="39">
        <v>28.899000000000001</v>
      </c>
      <c r="I4" s="36">
        <v>31.8428</v>
      </c>
      <c r="J4" s="50">
        <v>54.469299999999997</v>
      </c>
      <c r="K4">
        <f>MAX(G4:J4)</f>
        <v>54.469299999999997</v>
      </c>
      <c r="L4" s="38">
        <f>+K4^2*E4</f>
        <v>2.9669046424900002E-2</v>
      </c>
      <c r="M4" s="43"/>
    </row>
    <row r="5" spans="1:13" ht="15" thickBot="1" x14ac:dyDescent="0.4">
      <c r="D5" t="str">
        <f>'Credit factor'!$D$4</f>
        <v>Continuous 10 min</v>
      </c>
      <c r="E5" s="31">
        <f>'Credit factor'!$E$4</f>
        <v>4.9999999999999998E-7</v>
      </c>
      <c r="G5" s="51">
        <v>4.7094300000000002</v>
      </c>
      <c r="H5" s="52">
        <v>2.21353</v>
      </c>
      <c r="I5" s="53"/>
      <c r="J5" s="54"/>
      <c r="K5">
        <f t="shared" ref="K5" si="0">MAX(G5:J5)</f>
        <v>4.7094300000000002</v>
      </c>
      <c r="L5" s="38">
        <f>+K5^2*E5</f>
        <v>1.1089365462450001E-5</v>
      </c>
      <c r="M5" s="43"/>
    </row>
    <row r="6" spans="1:13" x14ac:dyDescent="0.35">
      <c r="A6">
        <v>2</v>
      </c>
      <c r="B6" s="18">
        <v>4.064116308218197</v>
      </c>
      <c r="C6" s="18">
        <v>328.29425769014426</v>
      </c>
      <c r="D6" t="str">
        <f>'Credit factor'!$D$2</f>
        <v>Catastrophic failure</v>
      </c>
      <c r="E6" s="31">
        <f>'Credit factor'!$E$2</f>
        <v>4.9999999999999998E-7</v>
      </c>
      <c r="G6" s="36">
        <v>7.0990900000000003</v>
      </c>
      <c r="H6" s="36"/>
      <c r="I6" s="36">
        <v>31.3568</v>
      </c>
      <c r="J6" s="37"/>
      <c r="K6">
        <f t="shared" ref="K6:K8" si="1">MAX(G6:J6)</f>
        <v>31.3568</v>
      </c>
      <c r="L6" s="38">
        <f t="shared" ref="L6:L17" si="2">+K6^2*E6</f>
        <v>4.9162445311999993E-4</v>
      </c>
      <c r="M6" s="40">
        <f>+SUM(L6:L8)</f>
        <v>2.9985623854044803E-2</v>
      </c>
    </row>
    <row r="7" spans="1:13" x14ac:dyDescent="0.35">
      <c r="D7" t="str">
        <f>'Credit factor'!$D$3</f>
        <v>10 mm leak</v>
      </c>
      <c r="E7" s="31">
        <f>'Credit factor'!$E$3</f>
        <v>1.0000000000000001E-5</v>
      </c>
      <c r="G7" s="39">
        <v>45.683</v>
      </c>
      <c r="H7" s="39">
        <v>28.170200000000001</v>
      </c>
      <c r="I7" s="36">
        <v>31.3568</v>
      </c>
      <c r="J7" s="37">
        <v>54.2986</v>
      </c>
      <c r="K7">
        <f t="shared" si="1"/>
        <v>54.2986</v>
      </c>
      <c r="L7" s="38">
        <f t="shared" si="2"/>
        <v>2.9483379619600004E-2</v>
      </c>
      <c r="M7" s="43"/>
    </row>
    <row r="8" spans="1:13" x14ac:dyDescent="0.35">
      <c r="D8" t="str">
        <f>'Credit factor'!$D$4</f>
        <v>Continuous 10 min</v>
      </c>
      <c r="E8" s="31">
        <f>'Credit factor'!$E$4</f>
        <v>4.9999999999999998E-7</v>
      </c>
      <c r="G8" s="39">
        <v>4.6086400000000003</v>
      </c>
      <c r="H8" s="39">
        <v>2.1686299999999998</v>
      </c>
      <c r="I8" s="36"/>
      <c r="J8" s="37"/>
      <c r="K8">
        <f t="shared" si="1"/>
        <v>4.6086400000000003</v>
      </c>
      <c r="L8" s="38">
        <f t="shared" si="2"/>
        <v>1.0619781324800001E-5</v>
      </c>
      <c r="M8" s="43"/>
    </row>
    <row r="9" spans="1:13" x14ac:dyDescent="0.35">
      <c r="A9">
        <v>3</v>
      </c>
      <c r="B9" s="18">
        <v>3.8641163082181968</v>
      </c>
      <c r="C9" s="18">
        <v>307.17345616884506</v>
      </c>
      <c r="D9" t="str">
        <f>'Credit factor'!$D$2</f>
        <v>Catastrophic failure</v>
      </c>
      <c r="E9" s="31">
        <f>'Credit factor'!$E$2</f>
        <v>4.9999999999999998E-7</v>
      </c>
      <c r="G9" s="36">
        <v>6.9741999999999997</v>
      </c>
      <c r="H9" s="36"/>
      <c r="I9" s="36">
        <v>30.8657</v>
      </c>
      <c r="J9" s="37"/>
      <c r="K9">
        <f t="shared" ref="K9:K11" si="3">MAX(G9:J9)</f>
        <v>30.8657</v>
      </c>
      <c r="L9" s="38">
        <f t="shared" si="2"/>
        <v>4.7634571824499997E-4</v>
      </c>
      <c r="M9" s="40">
        <f>+SUM(L9:L11)</f>
        <v>2.9626522735906251E-2</v>
      </c>
    </row>
    <row r="10" spans="1:13" x14ac:dyDescent="0.35">
      <c r="D10" t="str">
        <f>'Credit factor'!$D$3</f>
        <v>10 mm leak</v>
      </c>
      <c r="E10" s="31">
        <f>'Credit factor'!$E$3</f>
        <v>1.0000000000000001E-5</v>
      </c>
      <c r="G10" s="39">
        <v>44.7639</v>
      </c>
      <c r="H10" s="39">
        <v>27.434699999999999</v>
      </c>
      <c r="I10" s="36">
        <v>30.8657</v>
      </c>
      <c r="J10" s="37">
        <v>53.981499999999997</v>
      </c>
      <c r="K10">
        <f t="shared" si="3"/>
        <v>53.981499999999997</v>
      </c>
      <c r="L10" s="38">
        <f t="shared" si="2"/>
        <v>2.9140023422500001E-2</v>
      </c>
      <c r="M10" s="43"/>
    </row>
    <row r="11" spans="1:13" x14ac:dyDescent="0.35">
      <c r="D11" t="str">
        <f>'Credit factor'!$D$4</f>
        <v>Continuous 10 min</v>
      </c>
      <c r="E11" s="31">
        <f>'Credit factor'!$E$4</f>
        <v>4.9999999999999998E-7</v>
      </c>
      <c r="G11" s="39">
        <v>4.5063500000000003</v>
      </c>
      <c r="H11" s="39">
        <v>2.1221999999999999</v>
      </c>
      <c r="I11" s="36"/>
      <c r="J11" s="37"/>
      <c r="K11">
        <f t="shared" si="3"/>
        <v>4.5063500000000003</v>
      </c>
      <c r="L11" s="38">
        <f t="shared" si="2"/>
        <v>1.0153595161250001E-5</v>
      </c>
      <c r="M11" s="43"/>
    </row>
    <row r="12" spans="1:13" x14ac:dyDescent="0.35">
      <c r="A12">
        <v>4</v>
      </c>
      <c r="B12" s="18">
        <v>3.6641163082181967</v>
      </c>
      <c r="C12" s="18">
        <v>286.77946031793783</v>
      </c>
      <c r="D12" t="str">
        <f>'Credit factor'!$D$2</f>
        <v>Catastrophic failure</v>
      </c>
      <c r="E12" s="31">
        <f>'Credit factor'!$E$2</f>
        <v>4.9999999999999998E-7</v>
      </c>
      <c r="G12" s="36">
        <v>6.8449200000000001</v>
      </c>
      <c r="H12" s="36"/>
      <c r="I12" s="36">
        <v>30.343900000000001</v>
      </c>
      <c r="J12" s="37"/>
      <c r="K12">
        <f t="shared" ref="K12:K14" si="4">MAX(G12:J12)</f>
        <v>30.343900000000001</v>
      </c>
      <c r="L12" s="38">
        <f t="shared" si="2"/>
        <v>4.6037613360500003E-4</v>
      </c>
      <c r="M12" s="40">
        <f>+SUM(L12:L14)</f>
        <v>2.9249192925105055E-2</v>
      </c>
    </row>
    <row r="13" spans="1:13" x14ac:dyDescent="0.35">
      <c r="D13" t="str">
        <f>'Credit factor'!$D$3</f>
        <v>10 mm leak</v>
      </c>
      <c r="E13" s="31">
        <f>'Credit factor'!$E$3</f>
        <v>1.0000000000000001E-5</v>
      </c>
      <c r="G13" s="39">
        <v>43.833300000000001</v>
      </c>
      <c r="H13" s="39">
        <v>26.690799999999999</v>
      </c>
      <c r="I13" s="36">
        <v>30.343900000000001</v>
      </c>
      <c r="J13" s="37">
        <v>53.6462</v>
      </c>
      <c r="K13">
        <f t="shared" si="4"/>
        <v>53.6462</v>
      </c>
      <c r="L13" s="38">
        <f t="shared" si="2"/>
        <v>2.8779147744400005E-2</v>
      </c>
      <c r="M13" s="43"/>
    </row>
    <row r="14" spans="1:13" x14ac:dyDescent="0.35">
      <c r="D14" t="str">
        <f>'Credit factor'!$D$4</f>
        <v>Continuous 10 min</v>
      </c>
      <c r="E14" s="31">
        <f>'Credit factor'!$E$4</f>
        <v>4.9999999999999998E-7</v>
      </c>
      <c r="G14" s="39">
        <v>4.3975099999999996</v>
      </c>
      <c r="H14" s="39">
        <v>2.0741299999999998</v>
      </c>
      <c r="I14" s="36"/>
      <c r="J14" s="37"/>
      <c r="K14">
        <f t="shared" si="4"/>
        <v>4.3975099999999996</v>
      </c>
      <c r="L14" s="38">
        <f t="shared" si="2"/>
        <v>9.6690471000499972E-6</v>
      </c>
      <c r="M14" s="43"/>
    </row>
    <row r="15" spans="1:13" x14ac:dyDescent="0.35">
      <c r="A15">
        <v>5</v>
      </c>
      <c r="B15" s="18">
        <v>3.4641163082181965</v>
      </c>
      <c r="C15" s="18">
        <v>267.06670187414647</v>
      </c>
      <c r="D15" t="str">
        <f>'Credit factor'!$D$2</f>
        <v>Catastrophic failure</v>
      </c>
      <c r="E15" s="31">
        <f>'Credit factor'!$E$2</f>
        <v>4.9999999999999998E-7</v>
      </c>
      <c r="G15" s="36">
        <v>6.7096200000000001</v>
      </c>
      <c r="H15" s="36"/>
      <c r="I15" s="36">
        <v>29.796299999999999</v>
      </c>
      <c r="J15" s="37"/>
      <c r="K15">
        <f t="shared" ref="K15:K17" si="5">MAX(G15:J15)</f>
        <v>29.796299999999999</v>
      </c>
      <c r="L15" s="38">
        <f t="shared" si="2"/>
        <v>4.4390974684499994E-4</v>
      </c>
      <c r="M15" s="40">
        <f>+SUM(L15:L17)</f>
        <v>2.8467784469481446E-2</v>
      </c>
    </row>
    <row r="16" spans="1:13" x14ac:dyDescent="0.35">
      <c r="D16" t="str">
        <f>'Credit factor'!$D$3</f>
        <v>10 mm leak</v>
      </c>
      <c r="E16" s="31">
        <f>'Credit factor'!$E$3</f>
        <v>1.0000000000000001E-5</v>
      </c>
      <c r="G16" s="39">
        <v>42.889299999999999</v>
      </c>
      <c r="H16" s="39">
        <v>25.936800000000002</v>
      </c>
      <c r="I16" s="36">
        <v>29.796299999999999</v>
      </c>
      <c r="J16" s="37">
        <v>52.928899999999999</v>
      </c>
      <c r="K16">
        <f t="shared" si="5"/>
        <v>52.928899999999999</v>
      </c>
      <c r="L16" s="38">
        <f t="shared" si="2"/>
        <v>2.8014684552099999E-2</v>
      </c>
      <c r="M16" s="43"/>
    </row>
    <row r="17" spans="1:13" x14ac:dyDescent="0.35">
      <c r="D17" t="str">
        <f>'Credit factor'!$D$4</f>
        <v>Continuous 10 min</v>
      </c>
      <c r="E17" s="31">
        <f>'Credit factor'!$E$4</f>
        <v>4.9999999999999998E-7</v>
      </c>
      <c r="G17" s="39">
        <v>4.2872300000000001</v>
      </c>
      <c r="H17" s="39">
        <v>2.0243099999999998</v>
      </c>
      <c r="I17" s="36"/>
      <c r="J17" s="37"/>
      <c r="K17">
        <f t="shared" si="5"/>
        <v>4.2872300000000001</v>
      </c>
      <c r="L17" s="38">
        <f t="shared" si="2"/>
        <v>9.190170536450001E-6</v>
      </c>
      <c r="M17" s="43"/>
    </row>
    <row r="18" spans="1:13" x14ac:dyDescent="0.35">
      <c r="A18">
        <v>6</v>
      </c>
      <c r="B18" s="18">
        <v>3.2641163082181963</v>
      </c>
      <c r="C18" s="18">
        <v>247.99279161089794</v>
      </c>
      <c r="D18" t="str">
        <f>'Credit factor'!$D$2</f>
        <v>Catastrophic failure</v>
      </c>
      <c r="E18" s="31">
        <f>'Credit factor'!$E$2</f>
        <v>4.9999999999999998E-7</v>
      </c>
      <c r="G18" s="36">
        <v>6.5693700000000002</v>
      </c>
      <c r="H18" s="36"/>
      <c r="I18" s="36">
        <v>29.241599999999998</v>
      </c>
      <c r="J18" s="37"/>
      <c r="K18">
        <f t="shared" ref="K18:K20" si="6">MAX(G18:J18)</f>
        <v>29.241599999999998</v>
      </c>
      <c r="L18" s="38">
        <f t="shared" ref="L18:L20" si="7">+K18^2*E18</f>
        <v>4.2753558527999997E-4</v>
      </c>
      <c r="M18" s="40">
        <f>+SUM(L18:L20)</f>
        <v>2.7504235469931203E-2</v>
      </c>
    </row>
    <row r="19" spans="1:13" x14ac:dyDescent="0.35">
      <c r="D19" t="str">
        <f>'Credit factor'!$D$3</f>
        <v>10 mm leak</v>
      </c>
      <c r="E19" s="31">
        <f>'Credit factor'!$E$3</f>
        <v>1.0000000000000001E-5</v>
      </c>
      <c r="G19" s="39">
        <v>41.883499999999998</v>
      </c>
      <c r="H19" s="39">
        <v>25.1755</v>
      </c>
      <c r="I19" s="36">
        <v>29.2422</v>
      </c>
      <c r="J19" s="37">
        <v>52.026899999999998</v>
      </c>
      <c r="K19">
        <f t="shared" si="6"/>
        <v>52.026899999999998</v>
      </c>
      <c r="L19" s="38">
        <f t="shared" si="7"/>
        <v>2.7067983236100001E-2</v>
      </c>
      <c r="M19" s="43"/>
    </row>
    <row r="20" spans="1:13" x14ac:dyDescent="0.35">
      <c r="D20" t="str">
        <f>'Credit factor'!$D$4</f>
        <v>Continuous 10 min</v>
      </c>
      <c r="E20" s="31">
        <f>'Credit factor'!$E$4</f>
        <v>4.9999999999999998E-7</v>
      </c>
      <c r="G20" s="39">
        <v>4.1753200000000001</v>
      </c>
      <c r="H20" s="39">
        <v>1.9725999999999999</v>
      </c>
      <c r="I20" s="36"/>
      <c r="J20" s="37"/>
      <c r="K20">
        <f t="shared" si="6"/>
        <v>4.1753200000000001</v>
      </c>
      <c r="L20" s="38">
        <f t="shared" si="7"/>
        <v>8.7166485512000007E-6</v>
      </c>
      <c r="M20" s="43"/>
    </row>
    <row r="21" spans="1:13" x14ac:dyDescent="0.35">
      <c r="A21">
        <v>7</v>
      </c>
      <c r="B21" s="18">
        <v>3.0641163082181961</v>
      </c>
      <c r="C21" s="18">
        <v>229.51824686163121</v>
      </c>
      <c r="D21" t="str">
        <f>'Credit factor'!$D$2</f>
        <v>Catastrophic failure</v>
      </c>
      <c r="E21" s="31">
        <f>'Credit factor'!$E$2</f>
        <v>4.9999999999999998E-7</v>
      </c>
      <c r="G21" s="36">
        <v>6.4234799999999996</v>
      </c>
      <c r="H21" s="36"/>
      <c r="I21" s="36">
        <v>28.647600000000001</v>
      </c>
      <c r="J21" s="37"/>
      <c r="K21">
        <f t="shared" ref="K21:K23" si="8">MAX(G21:J21)</f>
        <v>28.647600000000001</v>
      </c>
      <c r="L21" s="38">
        <f t="shared" ref="L21:L23" si="9">+K21^2*E21</f>
        <v>4.1034249288000001E-4</v>
      </c>
      <c r="M21" s="40">
        <f>+SUM(L21:L23)</f>
        <v>2.6431327407425001E-2</v>
      </c>
    </row>
    <row r="22" spans="1:13" x14ac:dyDescent="0.35">
      <c r="D22" t="str">
        <f>'Credit factor'!$D$3</f>
        <v>10 mm leak</v>
      </c>
      <c r="E22" s="31">
        <f>'Credit factor'!$E$3</f>
        <v>1.0000000000000001E-5</v>
      </c>
      <c r="G22" s="39">
        <v>40.857199999999999</v>
      </c>
      <c r="H22" s="39">
        <v>24.389299999999999</v>
      </c>
      <c r="I22" s="36">
        <v>28.647600000000001</v>
      </c>
      <c r="J22" s="37">
        <v>51.002699999999997</v>
      </c>
      <c r="K22">
        <f t="shared" si="8"/>
        <v>51.002699999999997</v>
      </c>
      <c r="L22" s="38">
        <f t="shared" si="9"/>
        <v>2.6012754072900001E-2</v>
      </c>
      <c r="M22" s="43"/>
    </row>
    <row r="23" spans="1:13" x14ac:dyDescent="0.35">
      <c r="D23" t="str">
        <f>'Credit factor'!$D$4</f>
        <v>Continuous 10 min</v>
      </c>
      <c r="E23" s="31">
        <f>'Credit factor'!$E$4</f>
        <v>4.9999999999999998E-7</v>
      </c>
      <c r="G23" s="39">
        <v>4.0572999999999997</v>
      </c>
      <c r="H23" s="39">
        <v>1.9188400000000001</v>
      </c>
      <c r="I23" s="36"/>
      <c r="J23" s="37"/>
      <c r="K23">
        <f t="shared" si="8"/>
        <v>4.0572999999999997</v>
      </c>
      <c r="L23" s="38">
        <f t="shared" si="9"/>
        <v>8.2308416449999985E-6</v>
      </c>
      <c r="M23" s="43"/>
    </row>
    <row r="24" spans="1:13" x14ac:dyDescent="0.35">
      <c r="A24">
        <v>8</v>
      </c>
      <c r="B24" s="18">
        <v>2.864116308218196</v>
      </c>
      <c r="C24" s="18">
        <v>211.60624659571923</v>
      </c>
      <c r="D24" t="str">
        <f>'Credit factor'!$D$2</f>
        <v>Catastrophic failure</v>
      </c>
      <c r="E24" s="31">
        <f>'Credit factor'!$E$2</f>
        <v>4.9999999999999998E-7</v>
      </c>
      <c r="G24" s="36">
        <v>6.2687299999999997</v>
      </c>
      <c r="H24" s="36"/>
      <c r="I24" s="36">
        <v>28.03</v>
      </c>
      <c r="J24" s="37"/>
      <c r="K24">
        <f t="shared" ref="K24:K26" si="10">MAX(G24:J24)</f>
        <v>28.03</v>
      </c>
      <c r="L24" s="38">
        <f t="shared" ref="L24:L26" si="11">+K24^2*E24</f>
        <v>3.9284045000000003E-4</v>
      </c>
      <c r="M24" s="40">
        <f>+SUM(L24:L26)</f>
        <v>2.5183954319456053E-2</v>
      </c>
    </row>
    <row r="25" spans="1:13" x14ac:dyDescent="0.35">
      <c r="D25" t="str">
        <f>'Credit factor'!$D$3</f>
        <v>10 mm leak</v>
      </c>
      <c r="E25" s="31">
        <f>'Credit factor'!$E$3</f>
        <v>1.0000000000000001E-5</v>
      </c>
      <c r="G25" s="39">
        <v>39.793100000000003</v>
      </c>
      <c r="H25" s="39">
        <v>23.5913</v>
      </c>
      <c r="I25" s="36">
        <v>28.03</v>
      </c>
      <c r="J25" s="37">
        <v>49.782899999999998</v>
      </c>
      <c r="K25">
        <f t="shared" si="10"/>
        <v>49.782899999999998</v>
      </c>
      <c r="L25" s="38">
        <f t="shared" si="11"/>
        <v>2.4783371324100002E-2</v>
      </c>
      <c r="M25" s="43"/>
    </row>
    <row r="26" spans="1:13" x14ac:dyDescent="0.35">
      <c r="D26" t="str">
        <f>'Credit factor'!$D$4</f>
        <v>Continuous 10 min</v>
      </c>
      <c r="E26" s="31">
        <f>'Credit factor'!$E$4</f>
        <v>4.9999999999999998E-7</v>
      </c>
      <c r="G26" s="39">
        <v>3.9351099999999999</v>
      </c>
      <c r="H26" s="39">
        <v>1.86283</v>
      </c>
      <c r="I26" s="36"/>
      <c r="J26" s="37"/>
      <c r="K26">
        <f t="shared" si="10"/>
        <v>3.9351099999999999</v>
      </c>
      <c r="L26" s="38">
        <f t="shared" si="11"/>
        <v>7.7425453560500001E-6</v>
      </c>
      <c r="M26" s="43"/>
    </row>
    <row r="27" spans="1:13" x14ac:dyDescent="0.35">
      <c r="A27">
        <v>9</v>
      </c>
      <c r="B27" s="18">
        <v>2.6641163082181958</v>
      </c>
      <c r="C27" s="18">
        <v>194.2224108504289</v>
      </c>
      <c r="D27" t="str">
        <f>'Credit factor'!$D$2</f>
        <v>Catastrophic failure</v>
      </c>
      <c r="E27" s="31">
        <f>'Credit factor'!$E$2</f>
        <v>4.9999999999999998E-7</v>
      </c>
      <c r="G27" s="36">
        <v>6.1091300000000004</v>
      </c>
      <c r="H27" s="36"/>
      <c r="I27" s="36">
        <v>27.402100000000001</v>
      </c>
      <c r="J27" s="37"/>
      <c r="K27">
        <f t="shared" ref="K27:K29" si="12">MAX(G27:J27)</f>
        <v>27.402100000000001</v>
      </c>
      <c r="L27" s="38">
        <f t="shared" ref="L27:L29" si="13">+K27^2*E27</f>
        <v>3.7543754220499998E-4</v>
      </c>
      <c r="M27" s="40">
        <f>+SUM(L27:L29)</f>
        <v>1.7112994172116255E-2</v>
      </c>
    </row>
    <row r="28" spans="1:13" x14ac:dyDescent="0.35">
      <c r="D28" t="str">
        <f>'Credit factor'!$D$3</f>
        <v>10 mm leak</v>
      </c>
      <c r="E28" s="31">
        <f>'Credit factor'!$E$3</f>
        <v>1.0000000000000001E-5</v>
      </c>
      <c r="G28" s="39">
        <v>38.692100000000003</v>
      </c>
      <c r="H28" s="39">
        <v>22.773399999999999</v>
      </c>
      <c r="I28" s="36">
        <v>27.402100000000001</v>
      </c>
      <c r="J28" s="37">
        <v>40.902700000000003</v>
      </c>
      <c r="K28">
        <f t="shared" si="12"/>
        <v>40.902700000000003</v>
      </c>
      <c r="L28" s="38">
        <f t="shared" si="13"/>
        <v>1.6730308672900006E-2</v>
      </c>
      <c r="M28" s="43"/>
    </row>
    <row r="29" spans="1:13" x14ac:dyDescent="0.35">
      <c r="D29" t="str">
        <f>'Credit factor'!$D$4</f>
        <v>Continuous 10 min</v>
      </c>
      <c r="E29" s="31">
        <f>'Credit factor'!$E$4</f>
        <v>4.9999999999999998E-7</v>
      </c>
      <c r="G29" s="39">
        <v>3.80735</v>
      </c>
      <c r="H29" s="36">
        <v>1.8043499999999999</v>
      </c>
      <c r="I29" s="36"/>
      <c r="J29" s="37"/>
      <c r="K29">
        <f t="shared" si="12"/>
        <v>3.80735</v>
      </c>
      <c r="L29" s="38">
        <f t="shared" si="13"/>
        <v>7.24795701125E-6</v>
      </c>
      <c r="M29" s="43"/>
    </row>
    <row r="30" spans="1:13" x14ac:dyDescent="0.35">
      <c r="A30">
        <v>10</v>
      </c>
      <c r="B30" s="18">
        <v>2.4641163082181956</v>
      </c>
      <c r="C30" s="18">
        <v>177.3346017392744</v>
      </c>
      <c r="D30" t="str">
        <f>'Credit factor'!$D$2</f>
        <v>Catastrophic failure</v>
      </c>
      <c r="E30" s="31">
        <f>'Credit factor'!$E$2</f>
        <v>4.9999999999999998E-7</v>
      </c>
      <c r="G30" s="36">
        <v>5.9428400000000003</v>
      </c>
      <c r="H30" s="39"/>
      <c r="I30" s="36">
        <v>26.727900000000002</v>
      </c>
      <c r="J30" s="37"/>
      <c r="K30">
        <f t="shared" ref="K30:K32" si="14">MAX(G30:J30)</f>
        <v>26.727900000000002</v>
      </c>
      <c r="L30" s="38">
        <f t="shared" ref="L30:L32" si="15">+K30^2*E30</f>
        <v>3.5719031920500001E-4</v>
      </c>
      <c r="M30" s="40">
        <f>+SUM(L30:L32)</f>
        <v>1.6868423172293454E-2</v>
      </c>
    </row>
    <row r="31" spans="1:13" x14ac:dyDescent="0.35">
      <c r="D31" t="str">
        <f>'Credit factor'!$D$3</f>
        <v>10 mm leak</v>
      </c>
      <c r="E31" s="31">
        <f>'Credit factor'!$E$3</f>
        <v>1.0000000000000001E-5</v>
      </c>
      <c r="G31" s="39">
        <v>37.520699999999998</v>
      </c>
      <c r="H31" s="39">
        <v>21.931999999999999</v>
      </c>
      <c r="I31" s="36">
        <v>26.727900000000002</v>
      </c>
      <c r="J31" s="37">
        <v>40.625700000000002</v>
      </c>
      <c r="K31">
        <f t="shared" si="14"/>
        <v>40.625700000000002</v>
      </c>
      <c r="L31" s="38">
        <f t="shared" si="15"/>
        <v>1.6504475004900005E-2</v>
      </c>
      <c r="M31" s="43"/>
    </row>
    <row r="32" spans="1:13" x14ac:dyDescent="0.35">
      <c r="D32" t="str">
        <f>'Credit factor'!$D$4</f>
        <v>Continuous 10 min</v>
      </c>
      <c r="E32" s="31">
        <f>'Credit factor'!$E$4</f>
        <v>4.9999999999999998E-7</v>
      </c>
      <c r="G32" s="39">
        <v>3.6763699999999999</v>
      </c>
      <c r="H32" s="36">
        <v>1.74312</v>
      </c>
      <c r="I32" s="36"/>
      <c r="J32" s="37"/>
      <c r="K32">
        <f t="shared" si="14"/>
        <v>3.6763699999999999</v>
      </c>
      <c r="L32" s="38">
        <f t="shared" si="15"/>
        <v>6.7578481884499996E-6</v>
      </c>
      <c r="M32" s="43"/>
    </row>
    <row r="33" spans="1:13" x14ac:dyDescent="0.35">
      <c r="A33">
        <v>11</v>
      </c>
      <c r="B33" s="18">
        <v>2.2641163082181954</v>
      </c>
      <c r="C33" s="18">
        <v>160.91274361384464</v>
      </c>
      <c r="D33" t="str">
        <f>'Credit factor'!$D$2</f>
        <v>Catastrophic failure</v>
      </c>
      <c r="E33" s="31">
        <f>'Credit factor'!$E$2</f>
        <v>4.9999999999999998E-7</v>
      </c>
      <c r="G33" s="36">
        <v>5.7659200000000004</v>
      </c>
      <c r="H33" s="39"/>
      <c r="I33" s="36">
        <v>26.017299999999999</v>
      </c>
      <c r="J33" s="37"/>
      <c r="K33">
        <f t="shared" ref="K33:K35" si="16">MAX(G33:J33)</f>
        <v>26.017299999999999</v>
      </c>
      <c r="L33" s="38">
        <f t="shared" ref="L33:L35" si="17">+K33^2*E33</f>
        <v>3.3844994964499995E-4</v>
      </c>
      <c r="M33" s="40">
        <f>+SUM(L33:L35)</f>
        <v>1.6529319370106252E-2</v>
      </c>
    </row>
    <row r="34" spans="1:13" x14ac:dyDescent="0.35">
      <c r="D34" t="str">
        <f>'Credit factor'!$D$3</f>
        <v>10 mm leak</v>
      </c>
      <c r="E34" s="31">
        <f>'Credit factor'!$E$3</f>
        <v>1.0000000000000001E-5</v>
      </c>
      <c r="G34" s="39">
        <v>36.317799999999998</v>
      </c>
      <c r="H34" s="39">
        <v>21.067900000000002</v>
      </c>
      <c r="I34" s="36">
        <v>26.017299999999999</v>
      </c>
      <c r="J34" s="37">
        <v>40.2301</v>
      </c>
      <c r="K34">
        <f t="shared" si="16"/>
        <v>40.2301</v>
      </c>
      <c r="L34" s="38">
        <f t="shared" si="17"/>
        <v>1.6184609460100002E-2</v>
      </c>
      <c r="M34" s="43"/>
    </row>
    <row r="35" spans="1:13" x14ac:dyDescent="0.35">
      <c r="D35" t="str">
        <f>'Credit factor'!$D$4</f>
        <v>Continuous 10 min</v>
      </c>
      <c r="E35" s="31">
        <f>'Credit factor'!$E$4</f>
        <v>4.9999999999999998E-7</v>
      </c>
      <c r="G35" s="39">
        <v>3.5383499999999999</v>
      </c>
      <c r="H35" s="36">
        <v>1.6788099999999999</v>
      </c>
      <c r="I35" s="36"/>
      <c r="J35" s="37"/>
      <c r="K35">
        <f t="shared" si="16"/>
        <v>3.5383499999999999</v>
      </c>
      <c r="L35" s="38">
        <f t="shared" si="17"/>
        <v>6.2599603612499991E-6</v>
      </c>
      <c r="M35" s="43"/>
    </row>
    <row r="36" spans="1:13" x14ac:dyDescent="0.35">
      <c r="A36">
        <v>12</v>
      </c>
      <c r="B36" s="18">
        <v>2.0641163082181953</v>
      </c>
      <c r="C36" s="18">
        <v>144.92866026223132</v>
      </c>
      <c r="D36" t="str">
        <f>'Credit factor'!$D$2</f>
        <v>Catastrophic failure</v>
      </c>
      <c r="E36" s="31">
        <f>'Credit factor'!$E$2</f>
        <v>4.9999999999999998E-7</v>
      </c>
      <c r="G36" s="36">
        <v>5.5788000000000002</v>
      </c>
      <c r="H36" s="39"/>
      <c r="I36" s="36">
        <v>25.243200000000002</v>
      </c>
      <c r="J36" s="37"/>
      <c r="K36">
        <f t="shared" ref="K36:K38" si="18">MAX(G36:J36)</f>
        <v>25.243200000000002</v>
      </c>
      <c r="L36" s="38">
        <f t="shared" ref="L36:L38" si="19">+K36^2*E36</f>
        <v>3.1860957312000005E-4</v>
      </c>
      <c r="M36" s="40">
        <f>+SUM(L36:L38)</f>
        <v>1.6150438832381247E-2</v>
      </c>
    </row>
    <row r="37" spans="1:13" x14ac:dyDescent="0.35">
      <c r="D37" t="str">
        <f>'Credit factor'!$D$3</f>
        <v>10 mm leak</v>
      </c>
      <c r="E37" s="31">
        <f>'Credit factor'!$E$3</f>
        <v>1.0000000000000001E-5</v>
      </c>
      <c r="G37" s="39">
        <v>34.996299999999998</v>
      </c>
      <c r="H37" s="39">
        <v>20.166</v>
      </c>
      <c r="I37" s="36">
        <v>25.243200000000002</v>
      </c>
      <c r="J37" s="37">
        <v>39.781999999999996</v>
      </c>
      <c r="K37">
        <f t="shared" si="18"/>
        <v>39.781999999999996</v>
      </c>
      <c r="L37" s="38">
        <f t="shared" si="19"/>
        <v>1.5826075239999998E-2</v>
      </c>
      <c r="M37" s="43"/>
    </row>
    <row r="38" spans="1:13" x14ac:dyDescent="0.35">
      <c r="D38" t="str">
        <f>'Credit factor'!$D$4</f>
        <v>Continuous 10 min</v>
      </c>
      <c r="E38" s="31">
        <f>'Credit factor'!$E$4</f>
        <v>4.9999999999999998E-7</v>
      </c>
      <c r="G38" s="39">
        <v>3.39235</v>
      </c>
      <c r="H38" s="36">
        <v>1.60866</v>
      </c>
      <c r="I38" s="36"/>
      <c r="J38" s="37"/>
      <c r="K38">
        <f t="shared" si="18"/>
        <v>3.39235</v>
      </c>
      <c r="L38" s="38">
        <f t="shared" si="19"/>
        <v>5.7540192612499998E-6</v>
      </c>
      <c r="M38" s="43"/>
    </row>
    <row r="39" spans="1:13" x14ac:dyDescent="0.35">
      <c r="A39">
        <v>13</v>
      </c>
      <c r="B39" s="18">
        <v>1.8641163082181953</v>
      </c>
      <c r="C39" s="18">
        <v>129.35592729040806</v>
      </c>
      <c r="D39" t="str">
        <f>'Credit factor'!$D$2</f>
        <v>Catastrophic failure</v>
      </c>
      <c r="E39" s="31">
        <f>'Credit factor'!$E$2</f>
        <v>4.9999999999999998E-7</v>
      </c>
      <c r="G39" s="36">
        <v>5.3774800000000003</v>
      </c>
      <c r="H39" s="39"/>
      <c r="I39" s="36">
        <v>24.441800000000001</v>
      </c>
      <c r="J39" s="37"/>
      <c r="K39">
        <f t="shared" ref="K39:K41" si="20">MAX(G39:J39)</f>
        <v>24.441800000000001</v>
      </c>
      <c r="L39" s="38">
        <f t="shared" ref="L39:L41" si="21">+K39^2*E39</f>
        <v>2.9870079362000001E-4</v>
      </c>
      <c r="M39" s="40">
        <f>+SUM(L39:L41)</f>
        <v>1.5718522949400002E-2</v>
      </c>
    </row>
    <row r="40" spans="1:13" x14ac:dyDescent="0.35">
      <c r="D40" t="str">
        <f>'Credit factor'!$D$3</f>
        <v>10 mm leak</v>
      </c>
      <c r="E40" s="31">
        <f>'Credit factor'!$E$3</f>
        <v>1.0000000000000001E-5</v>
      </c>
      <c r="G40" s="39">
        <v>33.607999999999997</v>
      </c>
      <c r="H40" s="39">
        <v>19.224900000000002</v>
      </c>
      <c r="I40" s="36">
        <v>24.441800000000001</v>
      </c>
      <c r="J40" s="37">
        <v>39.261400000000002</v>
      </c>
      <c r="K40">
        <f t="shared" si="20"/>
        <v>39.261400000000002</v>
      </c>
      <c r="L40" s="38">
        <f t="shared" si="21"/>
        <v>1.5414575299600003E-2</v>
      </c>
      <c r="M40" s="43"/>
    </row>
    <row r="41" spans="1:13" x14ac:dyDescent="0.35">
      <c r="D41" t="str">
        <f>'Credit factor'!$D$4</f>
        <v>Continuous 10 min</v>
      </c>
      <c r="E41" s="31">
        <f>'Credit factor'!$E$4</f>
        <v>4.9999999999999998E-7</v>
      </c>
      <c r="G41" s="39">
        <v>3.2393999999999998</v>
      </c>
      <c r="H41" s="36">
        <v>1.53688</v>
      </c>
      <c r="I41" s="36"/>
      <c r="J41" s="37"/>
      <c r="K41">
        <f t="shared" si="20"/>
        <v>3.2393999999999998</v>
      </c>
      <c r="L41" s="38">
        <f t="shared" si="21"/>
        <v>5.2468561799999987E-6</v>
      </c>
      <c r="M41" s="43"/>
    </row>
    <row r="42" spans="1:13" x14ac:dyDescent="0.35">
      <c r="A42">
        <v>14</v>
      </c>
      <c r="B42" s="18">
        <v>1.6641163082181953</v>
      </c>
      <c r="C42" s="18">
        <v>114.1697380598815</v>
      </c>
      <c r="D42" t="str">
        <f>'Credit factor'!$D$2</f>
        <v>Catastrophic failure</v>
      </c>
      <c r="E42" s="31">
        <f>'Credit factor'!$E$2</f>
        <v>4.9999999999999998E-7</v>
      </c>
      <c r="G42" s="36">
        <v>5.1612900000000002</v>
      </c>
      <c r="H42" s="39"/>
      <c r="I42" s="36">
        <v>23.5747</v>
      </c>
      <c r="J42" s="37"/>
      <c r="K42">
        <f t="shared" ref="K42:K44" si="22">MAX(G42:J42)</f>
        <v>23.5747</v>
      </c>
      <c r="L42" s="38">
        <f t="shared" ref="L42:L44" si="23">+K42^2*E42</f>
        <v>2.7788324004499997E-4</v>
      </c>
      <c r="M42" s="40">
        <f>+SUM(L42:L44)</f>
        <v>1.5228878117813201E-2</v>
      </c>
    </row>
    <row r="43" spans="1:13" x14ac:dyDescent="0.35">
      <c r="D43" t="str">
        <f>'Credit factor'!$D$3</f>
        <v>10 mm leak</v>
      </c>
      <c r="E43" s="31">
        <f>'Credit factor'!$E$3</f>
        <v>1.0000000000000001E-5</v>
      </c>
      <c r="G43" s="39">
        <v>32.120899999999999</v>
      </c>
      <c r="H43" s="39">
        <v>18.2364</v>
      </c>
      <c r="I43" s="36">
        <v>23.5747</v>
      </c>
      <c r="J43" s="37">
        <v>38.660400000000003</v>
      </c>
      <c r="K43">
        <f t="shared" si="22"/>
        <v>38.660400000000003</v>
      </c>
      <c r="L43" s="38">
        <f t="shared" si="23"/>
        <v>1.4946265281600002E-2</v>
      </c>
      <c r="M43" s="43"/>
    </row>
    <row r="44" spans="1:13" x14ac:dyDescent="0.35">
      <c r="D44" t="str">
        <f>'Credit factor'!$D$4</f>
        <v>Continuous 10 min</v>
      </c>
      <c r="E44" s="31">
        <f>'Credit factor'!$E$4</f>
        <v>4.9999999999999998E-7</v>
      </c>
      <c r="G44" s="39">
        <v>3.07558</v>
      </c>
      <c r="H44" s="36">
        <v>1.4594800000000001</v>
      </c>
      <c r="I44" s="36"/>
      <c r="J44" s="37"/>
      <c r="K44">
        <f t="shared" si="22"/>
        <v>3.07558</v>
      </c>
      <c r="L44" s="38">
        <f t="shared" si="23"/>
        <v>4.7295961681999998E-6</v>
      </c>
      <c r="M44" s="43"/>
    </row>
    <row r="45" spans="1:13" x14ac:dyDescent="0.35">
      <c r="A45">
        <v>15</v>
      </c>
      <c r="B45" s="18">
        <v>1.4641163082181954</v>
      </c>
      <c r="C45" s="18">
        <v>99.346781751108153</v>
      </c>
      <c r="D45" t="str">
        <f>'Credit factor'!$D$2</f>
        <v>Catastrophic failure</v>
      </c>
      <c r="E45" s="31">
        <f>'Credit factor'!$E$2</f>
        <v>4.9999999999999998E-7</v>
      </c>
      <c r="G45" s="36">
        <v>4.9295799999999996</v>
      </c>
      <c r="H45" s="39"/>
      <c r="I45" s="36">
        <v>22.628</v>
      </c>
      <c r="J45" s="37"/>
      <c r="K45">
        <f t="shared" ref="K45:K47" si="24">MAX(G45:J45)</f>
        <v>22.628</v>
      </c>
      <c r="L45" s="38">
        <f t="shared" ref="L45:L47" si="25">+K45^2*E45</f>
        <v>2.5601319199999997E-4</v>
      </c>
      <c r="M45" s="40">
        <f>+SUM(L45:L47)</f>
        <v>1.3918568484338451E-2</v>
      </c>
    </row>
    <row r="46" spans="1:13" x14ac:dyDescent="0.35">
      <c r="D46" t="str">
        <f>'Credit factor'!$D$3</f>
        <v>10 mm leak</v>
      </c>
      <c r="E46" s="31">
        <f>'Credit factor'!$E$3</f>
        <v>1.0000000000000001E-5</v>
      </c>
      <c r="G46" s="39">
        <v>30.497399999999999</v>
      </c>
      <c r="H46" s="39">
        <v>17.189800000000002</v>
      </c>
      <c r="I46" s="36">
        <v>22.628</v>
      </c>
      <c r="J46" s="37">
        <v>36.9572</v>
      </c>
      <c r="K46">
        <f t="shared" si="24"/>
        <v>36.9572</v>
      </c>
      <c r="L46" s="38">
        <f t="shared" si="25"/>
        <v>1.3658346318400001E-2</v>
      </c>
      <c r="M46" s="43"/>
    </row>
    <row r="47" spans="1:13" x14ac:dyDescent="0.35">
      <c r="D47" t="str">
        <f>'Credit factor'!$D$4</f>
        <v>Continuous 10 min</v>
      </c>
      <c r="E47" s="31">
        <f>'Credit factor'!$E$4</f>
        <v>4.9999999999999998E-7</v>
      </c>
      <c r="G47" s="39">
        <v>2.90137</v>
      </c>
      <c r="H47" s="36">
        <v>1.37974</v>
      </c>
      <c r="I47" s="36"/>
      <c r="J47" s="37"/>
      <c r="K47">
        <f t="shared" si="24"/>
        <v>2.90137</v>
      </c>
      <c r="L47" s="38">
        <f t="shared" si="25"/>
        <v>4.2089739384499998E-6</v>
      </c>
      <c r="M47" s="43"/>
    </row>
    <row r="48" spans="1:13" x14ac:dyDescent="0.35">
      <c r="A48">
        <v>16</v>
      </c>
      <c r="B48" s="18">
        <v>1.2641163082181954</v>
      </c>
      <c r="C48" s="18">
        <v>84.865132292127598</v>
      </c>
      <c r="D48" t="str">
        <f>'Credit factor'!$D$2</f>
        <v>Catastrophic failure</v>
      </c>
      <c r="E48" s="31">
        <f>'Credit factor'!$E$2</f>
        <v>4.9999999999999998E-7</v>
      </c>
      <c r="G48" s="36">
        <v>4.6755300000000002</v>
      </c>
      <c r="H48" s="39"/>
      <c r="I48" s="36">
        <v>21.5868</v>
      </c>
      <c r="J48" s="37"/>
      <c r="K48">
        <f t="shared" ref="K48:K50" si="26">MAX(G48:J48)</f>
        <v>21.5868</v>
      </c>
      <c r="L48" s="38">
        <f t="shared" ref="L48:L50" si="27">+K48^2*E48</f>
        <v>2.3299496712000001E-4</v>
      </c>
      <c r="M48" s="40">
        <f>+SUM(L48:L50)</f>
        <v>8.4924174521000019E-3</v>
      </c>
    </row>
    <row r="49" spans="1:13" x14ac:dyDescent="0.35">
      <c r="D49" t="str">
        <f>'Credit factor'!$D$3</f>
        <v>10 mm leak</v>
      </c>
      <c r="E49" s="31">
        <f>'Credit factor'!$E$3</f>
        <v>1.0000000000000001E-5</v>
      </c>
      <c r="G49" s="39">
        <v>28.732800000000001</v>
      </c>
      <c r="H49" s="39">
        <v>16.070399999999999</v>
      </c>
      <c r="I49" s="36">
        <v>21.5868</v>
      </c>
      <c r="J49" s="37">
        <v>27.128399999999999</v>
      </c>
      <c r="K49">
        <f t="shared" si="26"/>
        <v>28.732800000000001</v>
      </c>
      <c r="L49" s="38">
        <f t="shared" si="27"/>
        <v>8.2557379584000008E-3</v>
      </c>
      <c r="M49" s="43"/>
    </row>
    <row r="50" spans="1:13" x14ac:dyDescent="0.35">
      <c r="D50" t="str">
        <f>'Credit factor'!$D$4</f>
        <v>Continuous 10 min</v>
      </c>
      <c r="E50" s="31">
        <f>'Credit factor'!$E$4</f>
        <v>4.9999999999999998E-7</v>
      </c>
      <c r="G50" s="39">
        <v>2.7145999999999999</v>
      </c>
      <c r="H50" s="36">
        <v>1.2912300000000001</v>
      </c>
      <c r="I50" s="36"/>
      <c r="J50" s="37"/>
      <c r="K50">
        <f t="shared" si="26"/>
        <v>2.7145999999999999</v>
      </c>
      <c r="L50" s="38">
        <f t="shared" si="27"/>
        <v>3.6845265799999995E-6</v>
      </c>
      <c r="M50" s="43"/>
    </row>
    <row r="51" spans="1:13" x14ac:dyDescent="0.35">
      <c r="A51">
        <v>17</v>
      </c>
      <c r="B51" s="18">
        <v>1.0641163082181955</v>
      </c>
      <c r="C51" s="18">
        <v>70.704147039431305</v>
      </c>
      <c r="D51" t="str">
        <f>'Credit factor'!$D$2</f>
        <v>Catastrophic failure</v>
      </c>
      <c r="E51" s="31">
        <f>'Credit factor'!$E$2</f>
        <v>4.9999999999999998E-7</v>
      </c>
      <c r="G51" s="36">
        <v>4.3933900000000001</v>
      </c>
      <c r="H51" s="39"/>
      <c r="I51" s="36">
        <v>20.4344</v>
      </c>
      <c r="J51" s="37"/>
      <c r="K51">
        <f t="shared" ref="K51:K53" si="28">MAX(G51:J51)</f>
        <v>20.4344</v>
      </c>
      <c r="L51" s="38">
        <f t="shared" ref="L51:L53" si="29">+K51^2*E51</f>
        <v>2.0878235168E-4</v>
      </c>
      <c r="M51" s="40">
        <f>+SUM(L51:L53)</f>
        <v>7.3587880995999999E-3</v>
      </c>
    </row>
    <row r="52" spans="1:13" x14ac:dyDescent="0.35">
      <c r="D52" t="str">
        <f>'Credit factor'!$D$3</f>
        <v>10 mm leak</v>
      </c>
      <c r="E52" s="31">
        <f>'Credit factor'!$E$3</f>
        <v>1.0000000000000001E-5</v>
      </c>
      <c r="G52" s="39">
        <v>26.733599999999999</v>
      </c>
      <c r="H52" s="39">
        <v>14.8576</v>
      </c>
      <c r="I52" s="36">
        <v>20.4344</v>
      </c>
      <c r="J52" s="37">
        <v>26.566299999999998</v>
      </c>
      <c r="K52">
        <f t="shared" si="28"/>
        <v>26.733599999999999</v>
      </c>
      <c r="L52" s="38">
        <f t="shared" si="29"/>
        <v>7.1468536896000003E-3</v>
      </c>
      <c r="M52" s="43"/>
    </row>
    <row r="53" spans="1:13" x14ac:dyDescent="0.35">
      <c r="D53" t="str">
        <f>'Credit factor'!$D$4</f>
        <v>Continuous 10 min</v>
      </c>
      <c r="E53" s="31">
        <f>'Credit factor'!$E$4</f>
        <v>4.9999999999999998E-7</v>
      </c>
      <c r="G53" s="39">
        <v>2.5108000000000001</v>
      </c>
      <c r="H53" s="36">
        <v>1.20513</v>
      </c>
      <c r="I53" s="36"/>
      <c r="J53" s="37"/>
      <c r="K53">
        <f t="shared" si="28"/>
        <v>2.5108000000000001</v>
      </c>
      <c r="L53" s="38">
        <f t="shared" si="29"/>
        <v>3.1520583200000003E-6</v>
      </c>
      <c r="M53" s="43"/>
    </row>
    <row r="54" spans="1:13" x14ac:dyDescent="0.35">
      <c r="A54">
        <v>18</v>
      </c>
      <c r="B54" s="18">
        <v>0.86411630821819552</v>
      </c>
      <c r="C54" s="18">
        <v>56.844374226503909</v>
      </c>
      <c r="D54" t="str">
        <f>'Credit factor'!$D$2</f>
        <v>Catastrophic failure</v>
      </c>
      <c r="E54" s="31">
        <f>'Credit factor'!$E$2</f>
        <v>4.9999999999999998E-7</v>
      </c>
      <c r="G54" s="36">
        <v>4.0737500000000004</v>
      </c>
      <c r="H54" s="39"/>
      <c r="I54" s="36">
        <v>19.110900000000001</v>
      </c>
      <c r="J54" s="37"/>
      <c r="K54">
        <f t="shared" ref="K54:K56" si="30">MAX(G54:J54)</f>
        <v>19.110900000000001</v>
      </c>
      <c r="L54" s="38">
        <f t="shared" ref="L54:L56" si="31">+K54^2*E54</f>
        <v>1.82613249405E-4</v>
      </c>
      <c r="M54" s="40">
        <f>+SUM(L54:L56)</f>
        <v>6.8555098759070501E-3</v>
      </c>
    </row>
    <row r="55" spans="1:13" x14ac:dyDescent="0.35">
      <c r="D55" t="str">
        <f>'Credit factor'!$D$3</f>
        <v>10 mm leak</v>
      </c>
      <c r="E55" s="31">
        <f>'Credit factor'!$E$3</f>
        <v>1.0000000000000001E-5</v>
      </c>
      <c r="G55" s="39">
        <v>24.477499999999999</v>
      </c>
      <c r="H55" s="39">
        <v>13.4177</v>
      </c>
      <c r="I55" s="36">
        <v>19.110900000000001</v>
      </c>
      <c r="J55" s="37">
        <v>25.826899999999998</v>
      </c>
      <c r="K55">
        <f t="shared" si="30"/>
        <v>25.826899999999998</v>
      </c>
      <c r="L55" s="38">
        <f t="shared" si="31"/>
        <v>6.6702876361000004E-3</v>
      </c>
      <c r="M55" s="43"/>
    </row>
    <row r="56" spans="1:13" x14ac:dyDescent="0.35">
      <c r="D56" t="str">
        <f>'Credit factor'!$D$4</f>
        <v>Continuous 10 min</v>
      </c>
      <c r="E56" s="31">
        <f>'Credit factor'!$E$4</f>
        <v>4.9999999999999998E-7</v>
      </c>
      <c r="G56" s="39">
        <v>2.2842899999999999</v>
      </c>
      <c r="H56" s="36">
        <v>1.1208199999999999</v>
      </c>
      <c r="I56" s="36"/>
      <c r="J56" s="37"/>
      <c r="K56">
        <f t="shared" si="30"/>
        <v>2.2842899999999999</v>
      </c>
      <c r="L56" s="38">
        <f t="shared" si="31"/>
        <v>2.6089904020499996E-6</v>
      </c>
      <c r="M56" s="43"/>
    </row>
    <row r="57" spans="1:13" x14ac:dyDescent="0.35">
      <c r="A57">
        <v>19</v>
      </c>
      <c r="B57" s="18">
        <v>0.66411630821819556</v>
      </c>
      <c r="C57" s="18">
        <v>43.267468307457101</v>
      </c>
      <c r="D57" t="str">
        <f>'Credit factor'!$D$2</f>
        <v>Catastrophic failure</v>
      </c>
      <c r="E57" s="31">
        <f>'Credit factor'!$E$2</f>
        <v>4.9999999999999998E-7</v>
      </c>
      <c r="G57" s="36">
        <v>3.7022900000000001</v>
      </c>
      <c r="H57" s="39"/>
      <c r="I57" s="36">
        <v>17.565200000000001</v>
      </c>
      <c r="J57" s="37"/>
      <c r="K57">
        <f t="shared" ref="K57:K59" si="32">MAX(G57:J57)</f>
        <v>17.565200000000001</v>
      </c>
      <c r="L57" s="38">
        <f t="shared" ref="L57:L59" si="33">+K57^2*E57</f>
        <v>1.5426812552000001E-4</v>
      </c>
      <c r="M57" s="40">
        <f>+SUM(L57:L59)</f>
        <v>6.3987880480858E-3</v>
      </c>
    </row>
    <row r="58" spans="1:13" x14ac:dyDescent="0.35">
      <c r="D58" t="str">
        <f>'Credit factor'!$D$3</f>
        <v>10 mm leak</v>
      </c>
      <c r="E58" s="31">
        <f>'Credit factor'!$E$3</f>
        <v>1.0000000000000001E-5</v>
      </c>
      <c r="G58" s="39">
        <v>21.809899999999999</v>
      </c>
      <c r="H58" s="39">
        <v>11.798</v>
      </c>
      <c r="I58" s="36">
        <v>17.565200000000001</v>
      </c>
      <c r="J58" s="37">
        <v>24.9849</v>
      </c>
      <c r="K58">
        <f t="shared" si="32"/>
        <v>24.9849</v>
      </c>
      <c r="L58" s="38">
        <f t="shared" si="33"/>
        <v>6.2424522801000004E-3</v>
      </c>
      <c r="M58" s="43"/>
    </row>
    <row r="59" spans="1:13" x14ac:dyDescent="0.35">
      <c r="D59" t="str">
        <f>'Credit factor'!$D$4</f>
        <v>Continuous 10 min</v>
      </c>
      <c r="E59" s="31">
        <f>'Credit factor'!$E$4</f>
        <v>4.9999999999999998E-7</v>
      </c>
      <c r="G59" s="39">
        <v>2.0335399999999999</v>
      </c>
      <c r="H59" s="36">
        <v>1.02956</v>
      </c>
      <c r="I59" s="36"/>
      <c r="J59" s="37"/>
      <c r="K59">
        <f t="shared" si="32"/>
        <v>2.0335399999999999</v>
      </c>
      <c r="L59" s="38">
        <f t="shared" si="33"/>
        <v>2.0676424657999994E-6</v>
      </c>
      <c r="M59" s="43"/>
    </row>
    <row r="60" spans="1:13" x14ac:dyDescent="0.35">
      <c r="A60">
        <v>20</v>
      </c>
      <c r="B60" s="18">
        <v>0.46411630821819555</v>
      </c>
      <c r="C60" s="18">
        <v>29.95611242103228</v>
      </c>
      <c r="D60" t="str">
        <f>'Credit factor'!$D$2</f>
        <v>Catastrophic failure</v>
      </c>
      <c r="E60" s="31">
        <f>'Credit factor'!$E$2</f>
        <v>4.9999999999999998E-7</v>
      </c>
      <c r="G60" s="36">
        <v>3.2499799999999999</v>
      </c>
      <c r="H60" s="39"/>
      <c r="I60" s="36">
        <v>15.6624</v>
      </c>
      <c r="J60" s="37"/>
      <c r="K60">
        <f t="shared" ref="K60:K62" si="34">MAX(G60:J60)</f>
        <v>15.6624</v>
      </c>
      <c r="L60" s="38">
        <f t="shared" ref="L60:L62" si="35">+K60^2*E60</f>
        <v>1.2265538687999998E-4</v>
      </c>
      <c r="M60" s="40">
        <f>+SUM(L60:L62)</f>
        <v>3.5558527040617997E-3</v>
      </c>
    </row>
    <row r="61" spans="1:13" x14ac:dyDescent="0.35">
      <c r="D61" t="str">
        <f>'Credit factor'!$D$3</f>
        <v>10 mm leak</v>
      </c>
      <c r="E61" s="31">
        <f>'Credit factor'!$E$3</f>
        <v>1.0000000000000001E-5</v>
      </c>
      <c r="G61" s="39">
        <v>18.524699999999999</v>
      </c>
      <c r="H61" s="39">
        <v>9.9230900000000002</v>
      </c>
      <c r="I61" s="36">
        <v>15.6624</v>
      </c>
      <c r="J61" s="37">
        <v>13.877000000000001</v>
      </c>
      <c r="K61">
        <f t="shared" si="34"/>
        <v>18.524699999999999</v>
      </c>
      <c r="L61" s="38">
        <f t="shared" si="35"/>
        <v>3.4316451008999998E-3</v>
      </c>
      <c r="M61" s="43"/>
    </row>
    <row r="62" spans="1:13" x14ac:dyDescent="0.35">
      <c r="D62" t="str">
        <f>'Credit factor'!$D$4</f>
        <v>Continuous 10 min</v>
      </c>
      <c r="E62" s="31">
        <f>'Credit factor'!$E$4</f>
        <v>4.9999999999999998E-7</v>
      </c>
      <c r="G62" s="39">
        <v>1.7619400000000001</v>
      </c>
      <c r="H62" s="36">
        <v>0.91314399999999996</v>
      </c>
      <c r="I62" s="36"/>
      <c r="J62" s="37"/>
      <c r="K62">
        <f t="shared" si="34"/>
        <v>1.7619400000000001</v>
      </c>
      <c r="L62" s="38">
        <f t="shared" si="35"/>
        <v>1.5522162818E-6</v>
      </c>
      <c r="M62" s="43"/>
    </row>
    <row r="63" spans="1:13" x14ac:dyDescent="0.35">
      <c r="A63">
        <v>21</v>
      </c>
      <c r="B63" s="18">
        <v>0.26411630821819554</v>
      </c>
      <c r="C63" s="18">
        <v>16.89394728592924</v>
      </c>
      <c r="D63" t="str">
        <f>'Credit factor'!$D$2</f>
        <v>Catastrophic failure</v>
      </c>
      <c r="E63" s="31">
        <f>'Credit factor'!$E$2</f>
        <v>4.9999999999999998E-7</v>
      </c>
      <c r="G63" s="36">
        <v>2.6452200000000001</v>
      </c>
      <c r="H63" s="39"/>
      <c r="I63" s="36">
        <v>13.0692</v>
      </c>
      <c r="J63" s="37"/>
      <c r="K63">
        <f t="shared" ref="K63:K65" si="36">MAX(G63:J63)</f>
        <v>13.0692</v>
      </c>
      <c r="L63" s="38">
        <f t="shared" ref="L63:L65" si="37">+K63^2*E63</f>
        <v>8.5401994319999998E-5</v>
      </c>
      <c r="M63" s="40">
        <f>+SUM(L63:L65)</f>
        <v>2.0816616882282004E-3</v>
      </c>
    </row>
    <row r="64" spans="1:13" x14ac:dyDescent="0.35">
      <c r="D64" t="str">
        <f>'Credit factor'!$D$3</f>
        <v>10 mm leak</v>
      </c>
      <c r="E64" s="31">
        <f>'Credit factor'!$E$3</f>
        <v>1.0000000000000001E-5</v>
      </c>
      <c r="G64" s="39">
        <v>14.1251</v>
      </c>
      <c r="H64" s="39">
        <v>7.5856300000000001</v>
      </c>
      <c r="I64" s="36">
        <v>13.0692</v>
      </c>
      <c r="J64" s="37">
        <v>13.057</v>
      </c>
      <c r="K64">
        <f t="shared" si="36"/>
        <v>14.1251</v>
      </c>
      <c r="L64" s="38">
        <f t="shared" si="37"/>
        <v>1.9951845001000001E-3</v>
      </c>
      <c r="M64" s="43"/>
    </row>
    <row r="65" spans="1:13" x14ac:dyDescent="0.35">
      <c r="D65" t="str">
        <f>'Credit factor'!$D$4</f>
        <v>Continuous 10 min</v>
      </c>
      <c r="E65" s="31">
        <f>'Credit factor'!$E$4</f>
        <v>4.9999999999999998E-7</v>
      </c>
      <c r="G65" s="39">
        <v>1.4664200000000001</v>
      </c>
      <c r="H65" s="36">
        <v>0.76348199999999999</v>
      </c>
      <c r="I65" s="36"/>
      <c r="J65" s="37"/>
      <c r="K65">
        <f t="shared" si="36"/>
        <v>1.4664200000000001</v>
      </c>
      <c r="L65" s="38">
        <f t="shared" si="37"/>
        <v>1.0751938082E-6</v>
      </c>
      <c r="M65" s="43"/>
    </row>
    <row r="66" spans="1:13" x14ac:dyDescent="0.35">
      <c r="A66">
        <v>22</v>
      </c>
      <c r="B66" s="18">
        <v>6.4116308218195528E-2</v>
      </c>
      <c r="C66" s="18">
        <v>4.0655059135828351</v>
      </c>
      <c r="D66" t="str">
        <f>'Credit factor'!$D$2</f>
        <v>Catastrophic failure</v>
      </c>
      <c r="E66" s="31">
        <f>'Credit factor'!$E$2</f>
        <v>4.9999999999999998E-7</v>
      </c>
      <c r="G66" s="36"/>
      <c r="H66" s="36"/>
      <c r="I66" s="36"/>
      <c r="J66" s="37"/>
      <c r="K66">
        <f t="shared" ref="K66:K68" si="38">MAX(G66:J66)</f>
        <v>0</v>
      </c>
      <c r="L66" s="38">
        <f t="shared" ref="L66:L68" si="39">+K66^2*E66</f>
        <v>0</v>
      </c>
      <c r="M66" s="40">
        <f>+SUM(L66:L68)</f>
        <v>0</v>
      </c>
    </row>
    <row r="67" spans="1:13" x14ac:dyDescent="0.35">
      <c r="D67" t="str">
        <f>'Credit factor'!$D$3</f>
        <v>10 mm leak</v>
      </c>
      <c r="E67" s="31">
        <f>'Credit factor'!$E$3</f>
        <v>1.0000000000000001E-5</v>
      </c>
      <c r="G67" s="39"/>
      <c r="H67" s="39"/>
      <c r="I67" s="36"/>
      <c r="J67" s="37"/>
      <c r="K67">
        <f t="shared" si="38"/>
        <v>0</v>
      </c>
      <c r="L67" s="38">
        <f t="shared" si="39"/>
        <v>0</v>
      </c>
      <c r="M67" s="43"/>
    </row>
    <row r="68" spans="1:13" x14ac:dyDescent="0.35">
      <c r="D68" t="str">
        <f>'Credit factor'!$D$4</f>
        <v>Continuous 10 min</v>
      </c>
      <c r="E68" s="31">
        <f>'Credit factor'!$E$4</f>
        <v>4.9999999999999998E-7</v>
      </c>
      <c r="G68" s="39"/>
      <c r="H68" s="39"/>
      <c r="I68" s="36"/>
      <c r="J68" s="37"/>
      <c r="K68">
        <f t="shared" si="38"/>
        <v>0</v>
      </c>
      <c r="L68" s="38">
        <f t="shared" si="39"/>
        <v>0</v>
      </c>
      <c r="M68" s="43"/>
    </row>
  </sheetData>
  <mergeCells count="2">
    <mergeCell ref="G1:L1"/>
    <mergeCell ref="C1:D1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3BBBB-6C48-412D-A638-9B1AD8A94E1E}">
  <dimension ref="A1:M140"/>
  <sheetViews>
    <sheetView workbookViewId="0">
      <selection activeCell="N7" sqref="N7"/>
    </sheetView>
  </sheetViews>
  <sheetFormatPr defaultRowHeight="14.5" x14ac:dyDescent="0.35"/>
  <cols>
    <col min="1" max="1" width="9.08984375"/>
    <col min="4" max="4" width="18.54296875" bestFit="1" customWidth="1"/>
    <col min="5" max="5" width="22.453125" bestFit="1" customWidth="1"/>
    <col min="7" max="7" width="15.90625" bestFit="1" customWidth="1"/>
    <col min="8" max="8" width="13.08984375" bestFit="1" customWidth="1"/>
    <col min="9" max="9" width="14.08984375" bestFit="1" customWidth="1"/>
    <col min="10" max="10" width="9.54296875" bestFit="1" customWidth="1"/>
    <col min="11" max="11" width="12.90625" bestFit="1" customWidth="1"/>
    <col min="12" max="12" width="8.453125" bestFit="1" customWidth="1"/>
    <col min="13" max="13" width="35.453125" style="31" bestFit="1" customWidth="1"/>
  </cols>
  <sheetData>
    <row r="1" spans="1:13" x14ac:dyDescent="0.35">
      <c r="C1" s="81" t="s">
        <v>78</v>
      </c>
      <c r="D1" s="81"/>
      <c r="E1" s="35" t="s">
        <v>66</v>
      </c>
      <c r="G1" s="81" t="s">
        <v>67</v>
      </c>
      <c r="H1" s="81"/>
      <c r="I1" s="81"/>
      <c r="J1" s="81"/>
      <c r="K1" s="81"/>
      <c r="L1" s="81"/>
      <c r="M1" s="41" t="s">
        <v>68</v>
      </c>
    </row>
    <row r="2" spans="1:13" x14ac:dyDescent="0.35">
      <c r="A2" t="s">
        <v>81</v>
      </c>
      <c r="B2" t="s">
        <v>79</v>
      </c>
      <c r="C2" t="s">
        <v>80</v>
      </c>
      <c r="D2" s="9" t="s">
        <v>69</v>
      </c>
      <c r="E2" s="9" t="s">
        <v>70</v>
      </c>
      <c r="G2" t="s">
        <v>71</v>
      </c>
      <c r="H2" t="s">
        <v>72</v>
      </c>
      <c r="I2" t="s">
        <v>73</v>
      </c>
      <c r="J2" t="s">
        <v>74</v>
      </c>
      <c r="K2" t="s">
        <v>75</v>
      </c>
      <c r="L2" t="s">
        <v>76</v>
      </c>
      <c r="M2" s="42" t="s">
        <v>77</v>
      </c>
    </row>
    <row r="3" spans="1:13" x14ac:dyDescent="0.35">
      <c r="A3">
        <v>1</v>
      </c>
      <c r="B3" s="18">
        <v>13.626343056775017</v>
      </c>
      <c r="C3" s="18">
        <v>700.38850342272121</v>
      </c>
      <c r="D3" t="str">
        <f>'Credit factor'!$D$2</f>
        <v>Catastrophic failure</v>
      </c>
      <c r="E3" s="31">
        <f>'Credit factor'!$E$2</f>
        <v>4.9999999999999998E-7</v>
      </c>
      <c r="G3" s="36">
        <v>10.902699999999999</v>
      </c>
      <c r="H3" s="36"/>
      <c r="I3" s="36">
        <v>46.135100000000001</v>
      </c>
      <c r="J3" s="37">
        <v>31.509</v>
      </c>
      <c r="K3">
        <f t="shared" ref="K3:K66" si="0">MAX(G3:J3)</f>
        <v>46.135100000000001</v>
      </c>
      <c r="L3" s="38">
        <f t="shared" ref="L3:L17" si="1">+K3^2*E3</f>
        <v>1.064223726005E-3</v>
      </c>
      <c r="M3" s="40">
        <f>+SUM(L3:L5)</f>
        <v>6.557785779571218E-2</v>
      </c>
    </row>
    <row r="4" spans="1:13" x14ac:dyDescent="0.35">
      <c r="D4" t="str">
        <f>'Credit factor'!$D$3</f>
        <v>10 mm leak</v>
      </c>
      <c r="E4" s="31">
        <f>'Credit factor'!$E$3</f>
        <v>1.0000000000000001E-5</v>
      </c>
      <c r="G4" s="39">
        <v>65.034499999999994</v>
      </c>
      <c r="H4" s="36">
        <v>37.606200000000001</v>
      </c>
      <c r="I4" s="36">
        <v>46.135100000000001</v>
      </c>
      <c r="J4" s="37">
        <v>80.299499999999995</v>
      </c>
      <c r="K4">
        <f t="shared" si="0"/>
        <v>80.299499999999995</v>
      </c>
      <c r="L4" s="38">
        <f t="shared" si="1"/>
        <v>6.4480097002499986E-2</v>
      </c>
      <c r="M4" s="43"/>
    </row>
    <row r="5" spans="1:13" x14ac:dyDescent="0.35">
      <c r="D5" t="str">
        <f>'Credit factor'!$D$4</f>
        <v>Continuous 10 min</v>
      </c>
      <c r="E5" s="31">
        <f>'Credit factor'!$E$4</f>
        <v>4.9999999999999998E-7</v>
      </c>
      <c r="G5" s="39">
        <v>8.1898800000000005</v>
      </c>
      <c r="H5" s="36">
        <v>3.7584300000000002</v>
      </c>
      <c r="I5" s="36"/>
      <c r="J5" s="37"/>
      <c r="K5">
        <f t="shared" si="0"/>
        <v>8.1898800000000005</v>
      </c>
      <c r="L5" s="38">
        <f t="shared" si="1"/>
        <v>3.3537067207200004E-5</v>
      </c>
      <c r="M5" s="43"/>
    </row>
    <row r="6" spans="1:13" x14ac:dyDescent="0.35">
      <c r="A6">
        <v>2</v>
      </c>
      <c r="B6" s="18">
        <v>13.326343056775016</v>
      </c>
      <c r="C6" s="18">
        <v>672.97890039903268</v>
      </c>
      <c r="D6" t="str">
        <f>'Credit factor'!$D$2</f>
        <v>Catastrophic failure</v>
      </c>
      <c r="E6" s="31">
        <f>'Credit factor'!$E$2</f>
        <v>4.9999999999999998E-7</v>
      </c>
      <c r="G6" s="36">
        <v>10.8207</v>
      </c>
      <c r="H6" s="36"/>
      <c r="I6" s="36">
        <v>45.803800000000003</v>
      </c>
      <c r="J6" s="37">
        <v>31.101600000000001</v>
      </c>
      <c r="K6">
        <f t="shared" si="0"/>
        <v>45.803800000000003</v>
      </c>
      <c r="L6" s="38">
        <f t="shared" si="1"/>
        <v>1.04899404722E-3</v>
      </c>
      <c r="M6" s="40">
        <f>+SUM(L6:L8)</f>
        <v>6.5153902131444216E-2</v>
      </c>
    </row>
    <row r="7" spans="1:13" x14ac:dyDescent="0.35">
      <c r="D7" t="str">
        <f>'Credit factor'!$D$3</f>
        <v>10 mm leak</v>
      </c>
      <c r="E7" s="31">
        <f>'Credit factor'!$E$3</f>
        <v>1.0000000000000001E-5</v>
      </c>
      <c r="G7" s="39">
        <v>64.308099999999996</v>
      </c>
      <c r="H7" s="36">
        <v>37.062600000000003</v>
      </c>
      <c r="I7" s="36">
        <v>45.805300000000003</v>
      </c>
      <c r="J7" s="37">
        <v>80.045000000000002</v>
      </c>
      <c r="K7">
        <f t="shared" si="0"/>
        <v>80.045000000000002</v>
      </c>
      <c r="L7" s="38">
        <f t="shared" si="1"/>
        <v>6.4072020250000014E-2</v>
      </c>
      <c r="M7" s="43"/>
    </row>
    <row r="8" spans="1:13" x14ac:dyDescent="0.35">
      <c r="D8" t="str">
        <f>'Credit factor'!$D$4</f>
        <v>Continuous 10 min</v>
      </c>
      <c r="E8" s="31">
        <f>'Credit factor'!$E$4</f>
        <v>4.9999999999999998E-7</v>
      </c>
      <c r="G8" s="39">
        <v>8.11022</v>
      </c>
      <c r="H8" s="36">
        <v>3.7260300000000002</v>
      </c>
      <c r="I8" s="36"/>
      <c r="J8" s="37"/>
      <c r="K8">
        <f t="shared" si="0"/>
        <v>8.11022</v>
      </c>
      <c r="L8" s="38">
        <f t="shared" si="1"/>
        <v>3.2887834224199999E-5</v>
      </c>
      <c r="M8" s="43"/>
    </row>
    <row r="9" spans="1:13" x14ac:dyDescent="0.35">
      <c r="A9">
        <v>3</v>
      </c>
      <c r="B9" s="18">
        <v>13.026343056775016</v>
      </c>
      <c r="C9" s="18">
        <v>646.57508957876917</v>
      </c>
      <c r="D9" t="str">
        <f>'Credit factor'!$D$2</f>
        <v>Catastrophic failure</v>
      </c>
      <c r="E9" s="31">
        <f>'Credit factor'!$E$2</f>
        <v>4.9999999999999998E-7</v>
      </c>
      <c r="G9" s="36">
        <v>10.7378</v>
      </c>
      <c r="H9" s="36"/>
      <c r="I9" s="36">
        <v>45.451300000000003</v>
      </c>
      <c r="J9" s="37">
        <v>30.694700000000001</v>
      </c>
      <c r="K9">
        <f t="shared" si="0"/>
        <v>45.451300000000003</v>
      </c>
      <c r="L9" s="38">
        <f t="shared" si="1"/>
        <v>1.0329103358450002E-3</v>
      </c>
      <c r="M9" s="40">
        <f>+SUM(L9:L11)</f>
        <v>6.4718061684499048E-2</v>
      </c>
    </row>
    <row r="10" spans="1:13" x14ac:dyDescent="0.35">
      <c r="D10" t="str">
        <f>'Credit factor'!$D$3</f>
        <v>10 mm leak</v>
      </c>
      <c r="E10" s="31">
        <f>'Credit factor'!$E$3</f>
        <v>1.0000000000000001E-5</v>
      </c>
      <c r="G10" s="39">
        <v>63.581600000000002</v>
      </c>
      <c r="H10" s="36">
        <v>36.522500000000001</v>
      </c>
      <c r="I10" s="36">
        <v>45.451300000000003</v>
      </c>
      <c r="J10" s="37">
        <v>79.782799999999995</v>
      </c>
      <c r="K10">
        <f t="shared" si="0"/>
        <v>79.782799999999995</v>
      </c>
      <c r="L10" s="38">
        <f t="shared" si="1"/>
        <v>6.3652951758399995E-2</v>
      </c>
      <c r="M10" s="43"/>
    </row>
    <row r="11" spans="1:13" x14ac:dyDescent="0.35">
      <c r="D11" t="str">
        <f>'Credit factor'!$D$4</f>
        <v>Continuous 10 min</v>
      </c>
      <c r="E11" s="31">
        <f>'Credit factor'!$E$4</f>
        <v>4.9999999999999998E-7</v>
      </c>
      <c r="G11" s="39">
        <v>8.0249100000000002</v>
      </c>
      <c r="H11" s="36">
        <v>3.6929099999999999</v>
      </c>
      <c r="I11" s="36"/>
      <c r="J11" s="37"/>
      <c r="K11">
        <f t="shared" si="0"/>
        <v>8.0249100000000002</v>
      </c>
      <c r="L11" s="38">
        <f t="shared" si="1"/>
        <v>3.2199590254049997E-5</v>
      </c>
      <c r="M11" s="43"/>
    </row>
    <row r="12" spans="1:13" x14ac:dyDescent="0.35">
      <c r="A12">
        <v>4</v>
      </c>
      <c r="B12" s="18">
        <v>12.726343056775015</v>
      </c>
      <c r="C12" s="18">
        <v>621.12124489996802</v>
      </c>
      <c r="D12" t="str">
        <f>'Credit factor'!$D$2</f>
        <v>Catastrophic failure</v>
      </c>
      <c r="E12" s="31">
        <f>'Credit factor'!$E$2</f>
        <v>4.9999999999999998E-7</v>
      </c>
      <c r="G12" s="36">
        <v>10.6524</v>
      </c>
      <c r="H12" s="36"/>
      <c r="I12" s="36">
        <v>45.121000000000002</v>
      </c>
      <c r="J12" s="37">
        <v>30.01</v>
      </c>
      <c r="K12">
        <f t="shared" si="0"/>
        <v>45.121000000000002</v>
      </c>
      <c r="L12" s="38">
        <f t="shared" si="1"/>
        <v>1.0179523205000002E-3</v>
      </c>
      <c r="M12" s="40">
        <f>+SUM(L12:L14)</f>
        <v>6.4285473921048816E-2</v>
      </c>
    </row>
    <row r="13" spans="1:13" x14ac:dyDescent="0.35">
      <c r="D13" t="str">
        <f>'Credit factor'!$D$3</f>
        <v>10 mm leak</v>
      </c>
      <c r="E13" s="31">
        <f>'Credit factor'!$E$3</f>
        <v>1.0000000000000001E-5</v>
      </c>
      <c r="G13" s="39">
        <v>62.851500000000001</v>
      </c>
      <c r="H13" s="36">
        <v>35.985500000000002</v>
      </c>
      <c r="I13" s="36">
        <v>45.121000000000002</v>
      </c>
      <c r="J13" s="37">
        <v>79.521100000000004</v>
      </c>
      <c r="K13">
        <f t="shared" si="0"/>
        <v>79.521100000000004</v>
      </c>
      <c r="L13" s="38">
        <f t="shared" si="1"/>
        <v>6.3236053452100011E-2</v>
      </c>
      <c r="M13" s="43"/>
    </row>
    <row r="14" spans="1:13" x14ac:dyDescent="0.35">
      <c r="D14" t="str">
        <f>'Credit factor'!$D$4</f>
        <v>Continuous 10 min</v>
      </c>
      <c r="E14" s="31">
        <f>'Credit factor'!$E$4</f>
        <v>4.9999999999999998E-7</v>
      </c>
      <c r="G14" s="39">
        <v>7.9332399999999996</v>
      </c>
      <c r="H14" s="36">
        <v>3.6590500000000001</v>
      </c>
      <c r="I14" s="36"/>
      <c r="J14" s="37"/>
      <c r="K14">
        <f t="shared" si="0"/>
        <v>7.9332399999999996</v>
      </c>
      <c r="L14" s="38">
        <f t="shared" si="1"/>
        <v>3.1468148448799996E-5</v>
      </c>
      <c r="M14" s="43"/>
    </row>
    <row r="15" spans="1:13" x14ac:dyDescent="0.35">
      <c r="A15">
        <v>5</v>
      </c>
      <c r="B15" s="18">
        <v>12.426343056775014</v>
      </c>
      <c r="C15" s="18">
        <v>596.56533852105792</v>
      </c>
      <c r="D15" t="str">
        <f>'Credit factor'!$D$2</f>
        <v>Catastrophic failure</v>
      </c>
      <c r="E15" s="31">
        <f>'Credit factor'!$E$2</f>
        <v>4.9999999999999998E-7</v>
      </c>
      <c r="G15" s="36">
        <v>10.565899999999999</v>
      </c>
      <c r="H15" s="36"/>
      <c r="I15" s="36">
        <v>44.800600000000003</v>
      </c>
      <c r="J15" s="37">
        <v>29.398099999999999</v>
      </c>
      <c r="K15">
        <f t="shared" si="0"/>
        <v>44.800600000000003</v>
      </c>
      <c r="L15" s="38">
        <f t="shared" si="1"/>
        <v>1.0035468801800002E-3</v>
      </c>
      <c r="M15" s="40">
        <f>+SUM(L15:L17)</f>
        <v>6.3820315126740204E-2</v>
      </c>
    </row>
    <row r="16" spans="1:13" x14ac:dyDescent="0.35">
      <c r="D16" t="str">
        <f>'Credit factor'!$D$3</f>
        <v>10 mm leak</v>
      </c>
      <c r="E16" s="31">
        <f>'Credit factor'!$E$3</f>
        <v>1.0000000000000001E-5</v>
      </c>
      <c r="G16" s="39">
        <v>62.142099999999999</v>
      </c>
      <c r="H16" s="36">
        <v>35.451300000000003</v>
      </c>
      <c r="I16" s="36">
        <v>44.800600000000003</v>
      </c>
      <c r="J16" s="37">
        <v>79.2376</v>
      </c>
      <c r="K16">
        <f t="shared" si="0"/>
        <v>79.2376</v>
      </c>
      <c r="L16" s="38">
        <f t="shared" si="1"/>
        <v>6.2785972537600002E-2</v>
      </c>
      <c r="M16" s="43"/>
    </row>
    <row r="17" spans="1:13" x14ac:dyDescent="0.35">
      <c r="D17" t="str">
        <f>'Credit factor'!$D$4</f>
        <v>Continuous 10 min</v>
      </c>
      <c r="E17" s="31">
        <f>'Credit factor'!$E$4</f>
        <v>4.9999999999999998E-7</v>
      </c>
      <c r="G17" s="39">
        <v>7.84802</v>
      </c>
      <c r="H17" s="36">
        <v>3.6244499999999999</v>
      </c>
      <c r="I17" s="36"/>
      <c r="J17" s="37"/>
      <c r="K17">
        <f t="shared" si="0"/>
        <v>7.84802</v>
      </c>
      <c r="L17" s="38">
        <f t="shared" si="1"/>
        <v>3.0795708960200001E-5</v>
      </c>
      <c r="M17" s="43"/>
    </row>
    <row r="18" spans="1:13" x14ac:dyDescent="0.35">
      <c r="A18">
        <v>6</v>
      </c>
      <c r="B18" s="18">
        <v>12.126343056775013</v>
      </c>
      <c r="C18" s="18">
        <v>572.85882320039923</v>
      </c>
      <c r="D18" t="str">
        <f>'Credit factor'!$D$2</f>
        <v>Catastrophic failure</v>
      </c>
      <c r="E18" s="31">
        <f>'Credit factor'!$E$2</f>
        <v>4.9999999999999998E-7</v>
      </c>
      <c r="G18" s="36">
        <v>10.477600000000001</v>
      </c>
      <c r="H18" s="36"/>
      <c r="I18" s="36">
        <v>44.442999999999998</v>
      </c>
      <c r="J18" s="37">
        <v>28.6114</v>
      </c>
      <c r="K18">
        <f t="shared" si="0"/>
        <v>44.442999999999998</v>
      </c>
      <c r="L18" s="38">
        <f t="shared" ref="L18:L67" si="2">+K18^2*E18</f>
        <v>9.8759012449999993E-4</v>
      </c>
      <c r="M18" s="40">
        <f>+SUM(L18:L20)</f>
        <v>6.3345563015772197E-2</v>
      </c>
    </row>
    <row r="19" spans="1:13" x14ac:dyDescent="0.35">
      <c r="D19" t="str">
        <f>'Credit factor'!$D$3</f>
        <v>10 mm leak</v>
      </c>
      <c r="E19" s="31">
        <f>'Credit factor'!$E$3</f>
        <v>1.0000000000000001E-5</v>
      </c>
      <c r="G19" s="39">
        <v>61.409300000000002</v>
      </c>
      <c r="H19" s="36">
        <v>34.919499999999999</v>
      </c>
      <c r="I19" s="36">
        <v>44.442999999999998</v>
      </c>
      <c r="J19" s="37">
        <v>78.947999999999993</v>
      </c>
      <c r="K19">
        <f t="shared" si="0"/>
        <v>78.947999999999993</v>
      </c>
      <c r="L19" s="38">
        <f t="shared" si="2"/>
        <v>6.2327867039999998E-2</v>
      </c>
      <c r="M19" s="43"/>
    </row>
    <row r="20" spans="1:13" x14ac:dyDescent="0.35">
      <c r="D20" t="str">
        <f>'Credit factor'!$D$4</f>
        <v>Continuous 10 min</v>
      </c>
      <c r="E20" s="31">
        <f>'Credit factor'!$E$4</f>
        <v>4.9999999999999998E-7</v>
      </c>
      <c r="G20" s="39">
        <v>7.75962</v>
      </c>
      <c r="H20" s="36">
        <v>3.5890900000000001</v>
      </c>
      <c r="I20" s="36"/>
      <c r="J20" s="37"/>
      <c r="K20">
        <f t="shared" si="0"/>
        <v>7.75962</v>
      </c>
      <c r="L20" s="38">
        <f t="shared" si="2"/>
        <v>3.0105851272199999E-5</v>
      </c>
      <c r="M20" s="43"/>
    </row>
    <row r="21" spans="1:13" x14ac:dyDescent="0.35">
      <c r="A21">
        <v>7</v>
      </c>
      <c r="B21" s="18">
        <v>11.826343056775013</v>
      </c>
      <c r="C21" s="18">
        <v>549.95634602416987</v>
      </c>
      <c r="D21" t="str">
        <f>'Credit factor'!$D$2</f>
        <v>Catastrophic failure</v>
      </c>
      <c r="E21" s="31">
        <f>'Credit factor'!$E$2</f>
        <v>4.9999999999999998E-7</v>
      </c>
      <c r="G21" s="36">
        <v>10.3878</v>
      </c>
      <c r="H21" s="36"/>
      <c r="I21" s="36">
        <v>44.094900000000003</v>
      </c>
      <c r="J21" s="37">
        <v>27.728400000000001</v>
      </c>
      <c r="K21">
        <f t="shared" si="0"/>
        <v>44.094900000000003</v>
      </c>
      <c r="L21" s="38">
        <f t="shared" si="2"/>
        <v>9.7218010300500004E-4</v>
      </c>
      <c r="M21" s="40">
        <f>+SUM(L21:L23)</f>
        <v>6.2862343972395068E-2</v>
      </c>
    </row>
    <row r="22" spans="1:13" x14ac:dyDescent="0.35">
      <c r="D22" t="str">
        <f>'Credit factor'!$D$3</f>
        <v>10 mm leak</v>
      </c>
      <c r="E22" s="31">
        <f>'Credit factor'!$E$3</f>
        <v>1.0000000000000001E-5</v>
      </c>
      <c r="G22" s="39">
        <v>60.656799999999997</v>
      </c>
      <c r="H22" s="36">
        <v>34.389699999999998</v>
      </c>
      <c r="I22" s="36">
        <v>44.094900000000003</v>
      </c>
      <c r="J22" s="37">
        <v>78.651600000000002</v>
      </c>
      <c r="K22">
        <f t="shared" si="0"/>
        <v>78.651600000000002</v>
      </c>
      <c r="L22" s="38">
        <f t="shared" si="2"/>
        <v>6.1860741825600016E-2</v>
      </c>
      <c r="M22" s="43"/>
    </row>
    <row r="23" spans="1:13" x14ac:dyDescent="0.35">
      <c r="D23" t="str">
        <f>'Credit factor'!$D$4</f>
        <v>Continuous 10 min</v>
      </c>
      <c r="E23" s="31">
        <f>'Credit factor'!$E$4</f>
        <v>4.9999999999999998E-7</v>
      </c>
      <c r="G23" s="39">
        <v>7.6709899999999998</v>
      </c>
      <c r="H23" s="36">
        <v>3.5529600000000001</v>
      </c>
      <c r="I23" s="36"/>
      <c r="J23" s="37"/>
      <c r="K23">
        <f t="shared" si="0"/>
        <v>7.6709899999999998</v>
      </c>
      <c r="L23" s="38">
        <f t="shared" si="2"/>
        <v>2.9422043790049996E-5</v>
      </c>
      <c r="M23" s="43"/>
    </row>
    <row r="24" spans="1:13" x14ac:dyDescent="0.35">
      <c r="A24">
        <v>8</v>
      </c>
      <c r="B24" s="18">
        <v>11.526343056775012</v>
      </c>
      <c r="C24" s="18">
        <v>527.81548993134413</v>
      </c>
      <c r="D24" t="str">
        <f>'Credit factor'!$D$2</f>
        <v>Catastrophic failure</v>
      </c>
      <c r="E24" s="31">
        <f>'Credit factor'!$E$2</f>
        <v>4.9999999999999998E-7</v>
      </c>
      <c r="G24" s="36">
        <v>10.296099999999999</v>
      </c>
      <c r="H24" s="36"/>
      <c r="I24" s="36">
        <v>43.732999999999997</v>
      </c>
      <c r="J24" s="37">
        <v>24.586500000000001</v>
      </c>
      <c r="K24">
        <f t="shared" si="0"/>
        <v>43.732999999999997</v>
      </c>
      <c r="L24" s="38">
        <f t="shared" si="2"/>
        <v>9.5628764449999981E-4</v>
      </c>
      <c r="M24" s="40">
        <f>+SUM(L24:L26)</f>
        <v>6.2371611544754443E-2</v>
      </c>
    </row>
    <row r="25" spans="1:13" x14ac:dyDescent="0.35">
      <c r="D25" t="str">
        <f>'Credit factor'!$D$3</f>
        <v>10 mm leak</v>
      </c>
      <c r="E25" s="31">
        <f>'Credit factor'!$E$3</f>
        <v>1.0000000000000001E-5</v>
      </c>
      <c r="G25" s="39">
        <v>60.002499999999998</v>
      </c>
      <c r="H25" s="36">
        <v>33.861699999999999</v>
      </c>
      <c r="I25" s="36">
        <v>43.732999999999997</v>
      </c>
      <c r="J25" s="37">
        <v>78.349599999999995</v>
      </c>
      <c r="K25">
        <f t="shared" si="0"/>
        <v>78.349599999999995</v>
      </c>
      <c r="L25" s="38">
        <f t="shared" si="2"/>
        <v>6.1386598201599994E-2</v>
      </c>
      <c r="M25" s="43"/>
    </row>
    <row r="26" spans="1:13" x14ac:dyDescent="0.35">
      <c r="D26" t="str">
        <f>'Credit factor'!$D$4</f>
        <v>Continuous 10 min</v>
      </c>
      <c r="E26" s="31">
        <f>'Credit factor'!$E$4</f>
        <v>4.9999999999999998E-7</v>
      </c>
      <c r="G26" s="39">
        <v>7.5796700000000001</v>
      </c>
      <c r="H26" s="36">
        <v>3.5160499999999999</v>
      </c>
      <c r="I26" s="36"/>
      <c r="J26" s="37"/>
      <c r="K26">
        <f t="shared" si="0"/>
        <v>7.5796700000000001</v>
      </c>
      <c r="L26" s="38">
        <f t="shared" si="2"/>
        <v>2.8725698654449998E-5</v>
      </c>
      <c r="M26" s="43"/>
    </row>
    <row r="27" spans="1:13" x14ac:dyDescent="0.35">
      <c r="A27">
        <v>9</v>
      </c>
      <c r="B27" s="18">
        <v>11.226343056775011</v>
      </c>
      <c r="C27" s="18">
        <v>506.39653993696049</v>
      </c>
      <c r="D27" t="str">
        <f>'Credit factor'!$D$2</f>
        <v>Catastrophic failure</v>
      </c>
      <c r="E27" s="31">
        <f>'Credit factor'!$E$2</f>
        <v>4.9999999999999998E-7</v>
      </c>
      <c r="G27" s="36">
        <v>10.2029</v>
      </c>
      <c r="H27" s="36"/>
      <c r="I27" s="36">
        <v>43.338099999999997</v>
      </c>
      <c r="J27" s="37">
        <v>21.427499999999998</v>
      </c>
      <c r="K27">
        <f t="shared" si="0"/>
        <v>43.338099999999997</v>
      </c>
      <c r="L27" s="38">
        <f t="shared" si="2"/>
        <v>9.390954558049999E-4</v>
      </c>
      <c r="M27" s="40">
        <f>+SUM(L27:L29)</f>
        <v>6.1411671340216259E-2</v>
      </c>
    </row>
    <row r="28" spans="1:13" x14ac:dyDescent="0.35">
      <c r="D28" t="str">
        <f>'Credit factor'!$D$3</f>
        <v>10 mm leak</v>
      </c>
      <c r="E28" s="31">
        <f>'Credit factor'!$E$3</f>
        <v>1.0000000000000001E-5</v>
      </c>
      <c r="G28" s="39">
        <v>59.270299999999999</v>
      </c>
      <c r="H28" s="36">
        <v>33.334899999999998</v>
      </c>
      <c r="I28" s="36">
        <v>43.338099999999997</v>
      </c>
      <c r="J28" s="37">
        <v>77.746099999999998</v>
      </c>
      <c r="K28">
        <f t="shared" si="0"/>
        <v>77.746099999999998</v>
      </c>
      <c r="L28" s="38">
        <f t="shared" si="2"/>
        <v>6.0444560652100007E-2</v>
      </c>
      <c r="M28" s="43"/>
    </row>
    <row r="29" spans="1:13" x14ac:dyDescent="0.35">
      <c r="D29" t="str">
        <f>'Credit factor'!$D$4</f>
        <v>Continuous 10 min</v>
      </c>
      <c r="E29" s="31">
        <f>'Credit factor'!$E$4</f>
        <v>4.9999999999999998E-7</v>
      </c>
      <c r="G29" s="39">
        <v>7.4853500000000004</v>
      </c>
      <c r="H29" s="36">
        <v>3.4783300000000001</v>
      </c>
      <c r="I29" s="36"/>
      <c r="J29" s="37"/>
      <c r="K29">
        <f t="shared" si="0"/>
        <v>7.4853500000000004</v>
      </c>
      <c r="L29" s="38">
        <f t="shared" si="2"/>
        <v>2.8015232311250002E-5</v>
      </c>
      <c r="M29" s="43"/>
    </row>
    <row r="30" spans="1:13" x14ac:dyDescent="0.35">
      <c r="A30">
        <v>10</v>
      </c>
      <c r="B30" s="18">
        <v>10.926343056775011</v>
      </c>
      <c r="C30" s="18">
        <v>485.6622713434835</v>
      </c>
      <c r="D30" t="str">
        <f>'Credit factor'!$D$2</f>
        <v>Catastrophic failure</v>
      </c>
      <c r="E30" s="31">
        <f>'Credit factor'!$E$2</f>
        <v>4.9999999999999998E-7</v>
      </c>
      <c r="G30" s="36">
        <v>10.108599999999999</v>
      </c>
      <c r="H30" s="36"/>
      <c r="I30" s="36">
        <v>42.988599999999998</v>
      </c>
      <c r="J30" s="37"/>
      <c r="K30">
        <f t="shared" si="0"/>
        <v>42.988599999999998</v>
      </c>
      <c r="L30" s="38">
        <f t="shared" si="2"/>
        <v>9.2400986497999989E-4</v>
      </c>
      <c r="M30" s="40">
        <f>+SUM(L30:L32)</f>
        <v>6.0094039329464465E-2</v>
      </c>
    </row>
    <row r="31" spans="1:13" x14ac:dyDescent="0.35">
      <c r="D31" t="str">
        <f>'Credit factor'!$D$3</f>
        <v>10 mm leak</v>
      </c>
      <c r="E31" s="31">
        <f>'Credit factor'!$E$3</f>
        <v>1.0000000000000001E-5</v>
      </c>
      <c r="G31" s="39">
        <v>58.504600000000003</v>
      </c>
      <c r="H31" s="36">
        <v>32.808999999999997</v>
      </c>
      <c r="I31" s="36">
        <v>42.988599999999998</v>
      </c>
      <c r="J31" s="37">
        <v>76.904300000000006</v>
      </c>
      <c r="K31">
        <f t="shared" si="0"/>
        <v>76.904300000000006</v>
      </c>
      <c r="L31" s="38">
        <f t="shared" si="2"/>
        <v>5.9142713584900017E-2</v>
      </c>
      <c r="M31" s="43"/>
    </row>
    <row r="32" spans="1:13" x14ac:dyDescent="0.35">
      <c r="D32" t="str">
        <f>'Credit factor'!$D$4</f>
        <v>Continuous 10 min</v>
      </c>
      <c r="E32" s="31">
        <f>'Credit factor'!$E$4</f>
        <v>4.9999999999999998E-7</v>
      </c>
      <c r="G32" s="39">
        <v>7.39133</v>
      </c>
      <c r="H32" s="36">
        <v>3.4397799999999998</v>
      </c>
      <c r="I32" s="36"/>
      <c r="J32" s="37"/>
      <c r="K32">
        <f t="shared" si="0"/>
        <v>7.39133</v>
      </c>
      <c r="L32" s="38">
        <f t="shared" si="2"/>
        <v>2.7315879584449996E-5</v>
      </c>
      <c r="M32" s="43"/>
    </row>
    <row r="33" spans="1:13" x14ac:dyDescent="0.35">
      <c r="A33">
        <v>11</v>
      </c>
      <c r="B33" s="18">
        <v>10.62634305677501</v>
      </c>
      <c r="C33" s="18">
        <v>465.57775756470414</v>
      </c>
      <c r="D33" t="str">
        <f>'Credit factor'!$D$2</f>
        <v>Catastrophic failure</v>
      </c>
      <c r="E33" s="31">
        <f>'Credit factor'!$E$2</f>
        <v>4.9999999999999998E-7</v>
      </c>
      <c r="G33" s="36">
        <v>10.013299999999999</v>
      </c>
      <c r="H33" s="36"/>
      <c r="I33" s="36">
        <v>42.6205</v>
      </c>
      <c r="J33" s="37"/>
      <c r="K33">
        <f t="shared" si="0"/>
        <v>42.6205</v>
      </c>
      <c r="L33" s="38">
        <f t="shared" si="2"/>
        <v>9.08253510125E-4</v>
      </c>
      <c r="M33" s="40">
        <f>+SUM(L33:L35)</f>
        <v>5.8611731896945012E-2</v>
      </c>
    </row>
    <row r="34" spans="1:13" x14ac:dyDescent="0.35">
      <c r="D34" t="str">
        <f>'Credit factor'!$D$3</f>
        <v>10 mm leak</v>
      </c>
      <c r="E34" s="31">
        <f>'Credit factor'!$E$3</f>
        <v>1.0000000000000001E-5</v>
      </c>
      <c r="G34" s="39">
        <v>57.719499999999996</v>
      </c>
      <c r="H34" s="36">
        <v>32.283700000000003</v>
      </c>
      <c r="I34" s="36">
        <v>42.6205</v>
      </c>
      <c r="J34" s="37">
        <v>75.945300000000003</v>
      </c>
      <c r="K34">
        <f t="shared" si="0"/>
        <v>75.945300000000003</v>
      </c>
      <c r="L34" s="38">
        <f t="shared" si="2"/>
        <v>5.7676885920900006E-2</v>
      </c>
      <c r="M34" s="43"/>
    </row>
    <row r="35" spans="1:13" x14ac:dyDescent="0.35">
      <c r="D35" t="str">
        <f>'Credit factor'!$D$4</f>
        <v>Continuous 10 min</v>
      </c>
      <c r="E35" s="31">
        <f>'Credit factor'!$E$4</f>
        <v>4.9999999999999998E-7</v>
      </c>
      <c r="G35" s="39">
        <v>7.2927999999999997</v>
      </c>
      <c r="H35" s="36">
        <v>3.4003899999999998</v>
      </c>
      <c r="I35" s="36"/>
      <c r="J35" s="37"/>
      <c r="K35">
        <f t="shared" si="0"/>
        <v>7.2927999999999997</v>
      </c>
      <c r="L35" s="38">
        <f t="shared" si="2"/>
        <v>2.6592465919999998E-5</v>
      </c>
      <c r="M35" s="43"/>
    </row>
    <row r="36" spans="1:13" x14ac:dyDescent="0.35">
      <c r="A36">
        <v>12</v>
      </c>
      <c r="B36" s="18">
        <v>10.326343056775009</v>
      </c>
      <c r="C36" s="18">
        <v>446.11019547547897</v>
      </c>
      <c r="D36" t="str">
        <f>'Credit factor'!$D$2</f>
        <v>Catastrophic failure</v>
      </c>
      <c r="E36" s="31">
        <f>'Credit factor'!$E$2</f>
        <v>4.9999999999999998E-7</v>
      </c>
      <c r="G36" s="36">
        <v>9.9141399999999997</v>
      </c>
      <c r="H36" s="36"/>
      <c r="I36" s="36">
        <v>42.223599999999998</v>
      </c>
      <c r="J36" s="37"/>
      <c r="K36">
        <f t="shared" si="0"/>
        <v>42.223599999999998</v>
      </c>
      <c r="L36" s="38">
        <f t="shared" si="2"/>
        <v>8.9141619847999992E-4</v>
      </c>
      <c r="M36" s="40">
        <f>+SUM(L36:L38)</f>
        <v>5.7102396955996046E-2</v>
      </c>
    </row>
    <row r="37" spans="1:13" x14ac:dyDescent="0.35">
      <c r="D37" t="str">
        <f>'Credit factor'!$D$3</f>
        <v>10 mm leak</v>
      </c>
      <c r="E37" s="31">
        <f>'Credit factor'!$E$3</f>
        <v>1.0000000000000001E-5</v>
      </c>
      <c r="G37" s="39">
        <v>56.9679</v>
      </c>
      <c r="H37" s="36">
        <v>31.758500000000002</v>
      </c>
      <c r="I37" s="36">
        <v>42.223599999999998</v>
      </c>
      <c r="J37" s="37">
        <v>74.956699999999998</v>
      </c>
      <c r="K37">
        <f t="shared" si="0"/>
        <v>74.956699999999998</v>
      </c>
      <c r="L37" s="38">
        <f t="shared" si="2"/>
        <v>5.6185068748899995E-2</v>
      </c>
      <c r="M37" s="43"/>
    </row>
    <row r="38" spans="1:13" x14ac:dyDescent="0.35">
      <c r="D38" t="str">
        <f>'Credit factor'!$D$4</f>
        <v>Continuous 10 min</v>
      </c>
      <c r="E38" s="31">
        <f>'Credit factor'!$E$4</f>
        <v>4.9999999999999998E-7</v>
      </c>
      <c r="G38" s="39">
        <v>7.1988899999999996</v>
      </c>
      <c r="H38" s="36">
        <v>3.3601399999999999</v>
      </c>
      <c r="I38" s="36"/>
      <c r="J38" s="37"/>
      <c r="K38">
        <f t="shared" si="0"/>
        <v>7.1988899999999996</v>
      </c>
      <c r="L38" s="38">
        <f t="shared" si="2"/>
        <v>2.5912008616049994E-5</v>
      </c>
      <c r="M38" s="43"/>
    </row>
    <row r="39" spans="1:13" x14ac:dyDescent="0.35">
      <c r="A39">
        <v>13</v>
      </c>
      <c r="B39" s="18">
        <v>10.026343056775008</v>
      </c>
      <c r="C39" s="18">
        <v>427.22874645054156</v>
      </c>
      <c r="D39" t="str">
        <f>'Credit factor'!$D$2</f>
        <v>Catastrophic failure</v>
      </c>
      <c r="E39" s="31">
        <f>'Credit factor'!$E$2</f>
        <v>4.9999999999999998E-7</v>
      </c>
      <c r="G39" s="36">
        <v>9.8163800000000005</v>
      </c>
      <c r="H39" s="36"/>
      <c r="I39" s="36">
        <v>41.834400000000002</v>
      </c>
      <c r="J39" s="37"/>
      <c r="K39">
        <f t="shared" si="0"/>
        <v>41.834400000000002</v>
      </c>
      <c r="L39" s="38">
        <f t="shared" si="2"/>
        <v>8.7505851167999998E-4</v>
      </c>
      <c r="M39" s="40">
        <f>+SUM(L39:L41)</f>
        <v>5.534797888908001E-2</v>
      </c>
    </row>
    <row r="40" spans="1:13" x14ac:dyDescent="0.35">
      <c r="D40" t="str">
        <f>'Credit factor'!$D$3</f>
        <v>10 mm leak</v>
      </c>
      <c r="E40" s="31">
        <f>'Credit factor'!$E$3</f>
        <v>1.0000000000000001E-5</v>
      </c>
      <c r="G40" s="39">
        <v>56.2258</v>
      </c>
      <c r="H40" s="36">
        <v>31.233000000000001</v>
      </c>
      <c r="I40" s="36">
        <v>41.834400000000002</v>
      </c>
      <c r="J40" s="37">
        <v>73.788700000000006</v>
      </c>
      <c r="K40">
        <f t="shared" si="0"/>
        <v>73.788700000000006</v>
      </c>
      <c r="L40" s="38">
        <f t="shared" si="2"/>
        <v>5.444772247690001E-2</v>
      </c>
      <c r="M40" s="43"/>
    </row>
    <row r="41" spans="1:13" x14ac:dyDescent="0.35">
      <c r="D41" t="str">
        <f>'Credit factor'!$D$4</f>
        <v>Continuous 10 min</v>
      </c>
      <c r="E41" s="31">
        <f>'Credit factor'!$E$4</f>
        <v>4.9999999999999998E-7</v>
      </c>
      <c r="G41" s="39">
        <v>7.0990000000000002</v>
      </c>
      <c r="H41" s="36">
        <v>3.3189799999999998</v>
      </c>
      <c r="I41" s="36"/>
      <c r="J41" s="37"/>
      <c r="K41">
        <f t="shared" si="0"/>
        <v>7.0990000000000002</v>
      </c>
      <c r="L41" s="38">
        <f t="shared" si="2"/>
        <v>2.5197900500000003E-5</v>
      </c>
      <c r="M41" s="43"/>
    </row>
    <row r="42" spans="1:13" x14ac:dyDescent="0.35">
      <c r="A42">
        <v>14</v>
      </c>
      <c r="B42" s="18">
        <v>9.7263430567750078</v>
      </c>
      <c r="C42" s="18">
        <v>408.90439147237601</v>
      </c>
      <c r="D42" t="str">
        <f>'Credit factor'!$D$2</f>
        <v>Catastrophic failure</v>
      </c>
      <c r="E42" s="31">
        <f>'Credit factor'!$E$2</f>
        <v>4.9999999999999998E-7</v>
      </c>
      <c r="G42" s="36">
        <v>9.7120700000000006</v>
      </c>
      <c r="H42" s="36"/>
      <c r="I42" s="36">
        <v>41.433799999999998</v>
      </c>
      <c r="J42" s="37"/>
      <c r="K42">
        <f t="shared" si="0"/>
        <v>41.433799999999998</v>
      </c>
      <c r="L42" s="38">
        <f t="shared" si="2"/>
        <v>8.5837989121999986E-4</v>
      </c>
      <c r="M42" s="40">
        <f>+SUM(L42:L44)</f>
        <v>4.4804503538248046E-2</v>
      </c>
    </row>
    <row r="43" spans="1:13" x14ac:dyDescent="0.35">
      <c r="D43" t="str">
        <f>'Credit factor'!$D$3</f>
        <v>10 mm leak</v>
      </c>
      <c r="E43" s="31">
        <f>'Credit factor'!$E$3</f>
        <v>1.0000000000000001E-5</v>
      </c>
      <c r="G43" s="39">
        <v>55.470399999999998</v>
      </c>
      <c r="H43" s="36">
        <v>30.706800000000001</v>
      </c>
      <c r="I43" s="36">
        <v>41.433799999999998</v>
      </c>
      <c r="J43" s="37">
        <v>66.273399999999995</v>
      </c>
      <c r="K43">
        <f t="shared" si="0"/>
        <v>66.273399999999995</v>
      </c>
      <c r="L43" s="38">
        <f t="shared" si="2"/>
        <v>4.3921635475599997E-2</v>
      </c>
      <c r="M43" s="43"/>
    </row>
    <row r="44" spans="1:13" x14ac:dyDescent="0.35">
      <c r="D44" t="str">
        <f>'Credit factor'!$D$4</f>
        <v>Continuous 10 min</v>
      </c>
      <c r="E44" s="31">
        <f>'Credit factor'!$E$4</f>
        <v>4.9999999999999998E-7</v>
      </c>
      <c r="G44" s="39">
        <v>6.99831</v>
      </c>
      <c r="H44" s="36">
        <v>3.2768999999999999</v>
      </c>
      <c r="I44" s="36"/>
      <c r="J44" s="37"/>
      <c r="K44">
        <f t="shared" si="0"/>
        <v>6.99831</v>
      </c>
      <c r="L44" s="38">
        <f t="shared" si="2"/>
        <v>2.4488171428049998E-5</v>
      </c>
      <c r="M44" s="43"/>
    </row>
    <row r="45" spans="1:13" x14ac:dyDescent="0.35">
      <c r="A45">
        <v>15</v>
      </c>
      <c r="B45" s="18">
        <v>9.4263430567750071</v>
      </c>
      <c r="C45" s="18">
        <v>391.10979887653554</v>
      </c>
      <c r="D45" t="str">
        <f>'Credit factor'!$D$2</f>
        <v>Catastrophic failure</v>
      </c>
      <c r="E45" s="31">
        <f>'Credit factor'!$E$2</f>
        <v>4.9999999999999998E-7</v>
      </c>
      <c r="G45" s="36">
        <v>9.6070200000000003</v>
      </c>
      <c r="H45" s="36"/>
      <c r="I45" s="36">
        <v>41.017000000000003</v>
      </c>
      <c r="J45" s="37"/>
      <c r="K45">
        <f t="shared" si="0"/>
        <v>41.017000000000003</v>
      </c>
      <c r="L45" s="38">
        <f t="shared" si="2"/>
        <v>8.4119714450000009E-4</v>
      </c>
      <c r="M45" s="40">
        <f>+SUM(L45:L47)</f>
        <v>4.4409251352144047E-2</v>
      </c>
    </row>
    <row r="46" spans="1:13" x14ac:dyDescent="0.35">
      <c r="D46" t="str">
        <f>'Credit factor'!$D$3</f>
        <v>10 mm leak</v>
      </c>
      <c r="E46" s="31">
        <f>'Credit factor'!$E$3</f>
        <v>1.0000000000000001E-5</v>
      </c>
      <c r="G46" s="39">
        <v>54.693600000000004</v>
      </c>
      <c r="H46" s="36">
        <v>30.179500000000001</v>
      </c>
      <c r="I46" s="36">
        <v>41.017000000000003</v>
      </c>
      <c r="J46" s="37">
        <v>65.988100000000003</v>
      </c>
      <c r="K46">
        <f t="shared" si="0"/>
        <v>65.988100000000003</v>
      </c>
      <c r="L46" s="38">
        <f t="shared" si="2"/>
        <v>4.3544293416099999E-2</v>
      </c>
      <c r="M46" s="43"/>
    </row>
    <row r="47" spans="1:13" x14ac:dyDescent="0.35">
      <c r="D47" t="str">
        <f>'Credit factor'!$D$4</f>
        <v>Continuous 10 min</v>
      </c>
      <c r="E47" s="31">
        <f>'Credit factor'!$E$4</f>
        <v>4.9999999999999998E-7</v>
      </c>
      <c r="G47" s="39">
        <v>6.8935899999999997</v>
      </c>
      <c r="H47" s="36">
        <v>3.23387</v>
      </c>
      <c r="I47" s="36"/>
      <c r="J47" s="37"/>
      <c r="K47">
        <f t="shared" si="0"/>
        <v>6.8935899999999997</v>
      </c>
      <c r="L47" s="38">
        <f t="shared" si="2"/>
        <v>2.3760791544049997E-5</v>
      </c>
      <c r="M47" s="43"/>
    </row>
    <row r="48" spans="1:13" x14ac:dyDescent="0.35">
      <c r="A48">
        <v>16</v>
      </c>
      <c r="B48" s="18">
        <v>9.1263430567750063</v>
      </c>
      <c r="C48" s="18">
        <v>373.81920346689276</v>
      </c>
      <c r="D48" t="str">
        <f>'Credit factor'!$D$2</f>
        <v>Catastrophic failure</v>
      </c>
      <c r="E48" s="31">
        <f>'Credit factor'!$E$2</f>
        <v>4.9999999999999998E-7</v>
      </c>
      <c r="G48" s="36">
        <v>9.4997699999999998</v>
      </c>
      <c r="H48" s="36"/>
      <c r="I48" s="36">
        <v>40.592399999999998</v>
      </c>
      <c r="J48" s="37"/>
      <c r="K48">
        <f t="shared" si="0"/>
        <v>40.592399999999998</v>
      </c>
      <c r="L48" s="38">
        <f t="shared" si="2"/>
        <v>8.2387146887999993E-4</v>
      </c>
      <c r="M48" s="40">
        <f>+SUM(L48:L50)</f>
        <v>4.4004454433992202E-2</v>
      </c>
    </row>
    <row r="49" spans="1:13" x14ac:dyDescent="0.35">
      <c r="D49" t="str">
        <f>'Credit factor'!$D$3</f>
        <v>10 mm leak</v>
      </c>
      <c r="E49" s="31">
        <f>'Credit factor'!$E$3</f>
        <v>1.0000000000000001E-5</v>
      </c>
      <c r="G49" s="39">
        <v>53.923299999999998</v>
      </c>
      <c r="H49" s="36">
        <v>29.650500000000001</v>
      </c>
      <c r="I49" s="36">
        <v>40.592399999999998</v>
      </c>
      <c r="J49" s="37">
        <v>65.694400000000002</v>
      </c>
      <c r="K49">
        <f t="shared" si="0"/>
        <v>65.694400000000002</v>
      </c>
      <c r="L49" s="38">
        <f t="shared" si="2"/>
        <v>4.3157541913600002E-2</v>
      </c>
      <c r="M49" s="43"/>
    </row>
    <row r="50" spans="1:13" x14ac:dyDescent="0.35">
      <c r="D50" t="str">
        <f>'Credit factor'!$D$4</f>
        <v>Continuous 10 min</v>
      </c>
      <c r="E50" s="31">
        <f>'Credit factor'!$E$4</f>
        <v>4.9999999999999998E-7</v>
      </c>
      <c r="G50" s="39">
        <v>6.7883800000000001</v>
      </c>
      <c r="H50" s="36">
        <v>3.1898399999999998</v>
      </c>
      <c r="I50" s="36"/>
      <c r="J50" s="37"/>
      <c r="K50">
        <f t="shared" si="0"/>
        <v>6.7883800000000001</v>
      </c>
      <c r="L50" s="38">
        <f t="shared" si="2"/>
        <v>2.3041051512199998E-5</v>
      </c>
      <c r="M50" s="43"/>
    </row>
    <row r="51" spans="1:13" x14ac:dyDescent="0.35">
      <c r="A51">
        <v>17</v>
      </c>
      <c r="B51" s="18">
        <v>8.8263430567750056</v>
      </c>
      <c r="C51" s="18">
        <v>357.00829587654755</v>
      </c>
      <c r="D51" t="str">
        <f>'Credit factor'!$D$2</f>
        <v>Catastrophic failure</v>
      </c>
      <c r="E51" s="31">
        <f>'Credit factor'!$E$2</f>
        <v>4.9999999999999998E-7</v>
      </c>
      <c r="G51" s="36">
        <v>9.3895900000000001</v>
      </c>
      <c r="H51" s="36"/>
      <c r="I51" s="36">
        <v>40.1492</v>
      </c>
      <c r="J51" s="37"/>
      <c r="K51">
        <f t="shared" si="0"/>
        <v>40.1492</v>
      </c>
      <c r="L51" s="38">
        <f t="shared" si="2"/>
        <v>8.0597913031999998E-4</v>
      </c>
      <c r="M51" s="40">
        <f>+SUM(L51:L53)</f>
        <v>4.3593238097373817E-2</v>
      </c>
    </row>
    <row r="52" spans="1:13" x14ac:dyDescent="0.35">
      <c r="D52" t="str">
        <f>'Credit factor'!$D$3</f>
        <v>10 mm leak</v>
      </c>
      <c r="E52" s="31">
        <f>'Credit factor'!$E$3</f>
        <v>1.0000000000000001E-5</v>
      </c>
      <c r="G52" s="39">
        <v>53.195099999999996</v>
      </c>
      <c r="H52" s="36">
        <v>29.119399999999999</v>
      </c>
      <c r="I52" s="36">
        <v>40.1492</v>
      </c>
      <c r="J52" s="37">
        <v>65.394900000000007</v>
      </c>
      <c r="K52">
        <f t="shared" si="0"/>
        <v>65.394900000000007</v>
      </c>
      <c r="L52" s="38">
        <f t="shared" si="2"/>
        <v>4.2764929460100014E-2</v>
      </c>
      <c r="M52" s="43"/>
    </row>
    <row r="53" spans="1:13" x14ac:dyDescent="0.35">
      <c r="D53" t="str">
        <f>'Credit factor'!$D$4</f>
        <v>Continuous 10 min</v>
      </c>
      <c r="E53" s="31">
        <f>'Credit factor'!$E$4</f>
        <v>4.9999999999999998E-7</v>
      </c>
      <c r="G53" s="39">
        <v>6.6827399999999999</v>
      </c>
      <c r="H53" s="36">
        <v>3.1471</v>
      </c>
      <c r="I53" s="36"/>
      <c r="J53" s="37"/>
      <c r="K53">
        <f t="shared" si="0"/>
        <v>6.6827399999999999</v>
      </c>
      <c r="L53" s="38">
        <f t="shared" si="2"/>
        <v>2.2329506953799997E-5</v>
      </c>
      <c r="M53" s="43"/>
    </row>
    <row r="54" spans="1:13" x14ac:dyDescent="0.35">
      <c r="A54">
        <v>18</v>
      </c>
      <c r="B54" s="18">
        <v>8.5263430567750049</v>
      </c>
      <c r="C54" s="18">
        <v>340.65412117539228</v>
      </c>
      <c r="D54" t="str">
        <f>'Credit factor'!$D$2</f>
        <v>Catastrophic failure</v>
      </c>
      <c r="E54" s="31">
        <f>'Credit factor'!$E$2</f>
        <v>4.9999999999999998E-7</v>
      </c>
      <c r="G54" s="36">
        <v>9.2772600000000001</v>
      </c>
      <c r="H54" s="36"/>
      <c r="I54" s="36">
        <v>39.7363</v>
      </c>
      <c r="J54" s="37"/>
      <c r="K54">
        <f t="shared" si="0"/>
        <v>39.7363</v>
      </c>
      <c r="L54" s="38">
        <f t="shared" si="2"/>
        <v>7.8948676884499998E-4</v>
      </c>
      <c r="M54" s="40">
        <f>+SUM(L54:L56)</f>
        <v>4.3162174163778801E-2</v>
      </c>
    </row>
    <row r="55" spans="1:13" x14ac:dyDescent="0.35">
      <c r="D55" t="str">
        <f>'Credit factor'!$D$3</f>
        <v>10 mm leak</v>
      </c>
      <c r="E55" s="31">
        <f>'Credit factor'!$E$3</f>
        <v>1.0000000000000001E-5</v>
      </c>
      <c r="G55" s="39">
        <v>52.357799999999997</v>
      </c>
      <c r="H55" s="36">
        <v>28.585599999999999</v>
      </c>
      <c r="I55" s="36">
        <v>39.7363</v>
      </c>
      <c r="J55" s="37">
        <v>65.077699999999993</v>
      </c>
      <c r="K55">
        <f t="shared" si="0"/>
        <v>65.077699999999993</v>
      </c>
      <c r="L55" s="38">
        <f t="shared" si="2"/>
        <v>4.23510703729E-2</v>
      </c>
      <c r="M55" s="43"/>
    </row>
    <row r="56" spans="1:13" x14ac:dyDescent="0.35">
      <c r="D56" t="str">
        <f>'Credit factor'!$D$4</f>
        <v>Continuous 10 min</v>
      </c>
      <c r="E56" s="31">
        <f>'Credit factor'!$E$4</f>
        <v>4.9999999999999998E-7</v>
      </c>
      <c r="G56" s="39">
        <v>6.5752600000000001</v>
      </c>
      <c r="H56" s="36">
        <v>3.1009799999999998</v>
      </c>
      <c r="I56" s="36"/>
      <c r="J56" s="37"/>
      <c r="K56">
        <f t="shared" si="0"/>
        <v>6.5752600000000001</v>
      </c>
      <c r="L56" s="38">
        <f t="shared" si="2"/>
        <v>2.1617022033799999E-5</v>
      </c>
      <c r="M56" s="43"/>
    </row>
    <row r="57" spans="1:13" x14ac:dyDescent="0.35">
      <c r="A57">
        <v>19</v>
      </c>
      <c r="B57" s="18">
        <v>8.2263430567750042</v>
      </c>
      <c r="C57" s="18">
        <v>324.73498583514112</v>
      </c>
      <c r="D57" t="str">
        <f>'Credit factor'!$D$2</f>
        <v>Catastrophic failure</v>
      </c>
      <c r="E57" s="31">
        <f>'Credit factor'!$E$2</f>
        <v>4.9999999999999998E-7</v>
      </c>
      <c r="G57" s="36">
        <v>9.1624199999999991</v>
      </c>
      <c r="H57" s="36"/>
      <c r="I57" s="36">
        <v>39.271299999999997</v>
      </c>
      <c r="J57" s="37"/>
      <c r="K57">
        <f t="shared" si="0"/>
        <v>39.271299999999997</v>
      </c>
      <c r="L57" s="38">
        <f t="shared" si="2"/>
        <v>7.7111750184499989E-4</v>
      </c>
      <c r="M57" s="40">
        <f>+SUM(L57:L59)</f>
        <v>4.2706910973843042E-2</v>
      </c>
    </row>
    <row r="58" spans="1:13" x14ac:dyDescent="0.35">
      <c r="D58" t="str">
        <f>'Credit factor'!$D$3</f>
        <v>10 mm leak</v>
      </c>
      <c r="E58" s="31">
        <f>'Credit factor'!$E$3</f>
        <v>1.0000000000000001E-5</v>
      </c>
      <c r="G58" s="39">
        <v>51.552</v>
      </c>
      <c r="H58" s="36">
        <v>28.0486</v>
      </c>
      <c r="I58" s="36">
        <v>39.271299999999997</v>
      </c>
      <c r="J58" s="37">
        <v>64.741699999999994</v>
      </c>
      <c r="K58">
        <f t="shared" si="0"/>
        <v>64.741699999999994</v>
      </c>
      <c r="L58" s="38">
        <f t="shared" si="2"/>
        <v>4.1914877188899996E-2</v>
      </c>
      <c r="M58" s="43"/>
    </row>
    <row r="59" spans="1:13" x14ac:dyDescent="0.35">
      <c r="D59" t="str">
        <f>'Credit factor'!$D$4</f>
        <v>Continuous 10 min</v>
      </c>
      <c r="E59" s="31">
        <f>'Credit factor'!$E$4</f>
        <v>4.9999999999999998E-7</v>
      </c>
      <c r="G59" s="39">
        <v>6.4678100000000001</v>
      </c>
      <c r="H59" s="36">
        <v>3.0537399999999999</v>
      </c>
      <c r="I59" s="36"/>
      <c r="J59" s="37"/>
      <c r="K59">
        <f t="shared" si="0"/>
        <v>6.4678100000000001</v>
      </c>
      <c r="L59" s="38">
        <f t="shared" si="2"/>
        <v>2.0916283098050001E-5</v>
      </c>
      <c r="M59" s="43"/>
    </row>
    <row r="60" spans="1:13" x14ac:dyDescent="0.35">
      <c r="A60">
        <v>20</v>
      </c>
      <c r="B60" s="18">
        <v>7.9263430567750044</v>
      </c>
      <c r="C60" s="18">
        <v>309.23037225901464</v>
      </c>
      <c r="D60" t="str">
        <f>'Credit factor'!$D$2</f>
        <v>Catastrophic failure</v>
      </c>
      <c r="E60" s="31">
        <f>'Credit factor'!$E$2</f>
        <v>4.9999999999999998E-7</v>
      </c>
      <c r="G60" s="36">
        <v>9.0431899999999992</v>
      </c>
      <c r="H60" s="36"/>
      <c r="I60" s="36">
        <v>38.8065</v>
      </c>
      <c r="J60" s="37"/>
      <c r="K60">
        <f t="shared" si="0"/>
        <v>38.8065</v>
      </c>
      <c r="L60" s="38">
        <f t="shared" si="2"/>
        <v>7.5297222112500001E-4</v>
      </c>
      <c r="M60" s="40">
        <f>+SUM(L60:L62)</f>
        <v>4.2270862719996201E-2</v>
      </c>
    </row>
    <row r="61" spans="1:13" x14ac:dyDescent="0.35">
      <c r="D61" t="str">
        <f>'Credit factor'!$D$3</f>
        <v>10 mm leak</v>
      </c>
      <c r="E61" s="31">
        <f>'Credit factor'!$E$3</f>
        <v>1.0000000000000001E-5</v>
      </c>
      <c r="G61" s="39">
        <v>50.741799999999998</v>
      </c>
      <c r="H61" s="36">
        <v>27.5078</v>
      </c>
      <c r="I61" s="36">
        <v>38.8065</v>
      </c>
      <c r="J61" s="37">
        <v>64.418700000000001</v>
      </c>
      <c r="K61">
        <f t="shared" si="0"/>
        <v>64.418700000000001</v>
      </c>
      <c r="L61" s="38">
        <f t="shared" si="2"/>
        <v>4.1497689096900006E-2</v>
      </c>
      <c r="M61" s="43"/>
    </row>
    <row r="62" spans="1:13" x14ac:dyDescent="0.35">
      <c r="D62" t="str">
        <f>'Credit factor'!$D$4</f>
        <v>Continuous 10 min</v>
      </c>
      <c r="E62" s="31">
        <f>'Credit factor'!$E$4</f>
        <v>4.9999999999999998E-7</v>
      </c>
      <c r="G62" s="39">
        <v>6.3563200000000002</v>
      </c>
      <c r="H62" s="36">
        <v>3.0053299999999998</v>
      </c>
      <c r="I62" s="36"/>
      <c r="J62" s="37"/>
      <c r="K62">
        <f t="shared" si="0"/>
        <v>6.3563200000000002</v>
      </c>
      <c r="L62" s="38">
        <f t="shared" si="2"/>
        <v>2.02014019712E-5</v>
      </c>
      <c r="M62" s="43"/>
    </row>
    <row r="63" spans="1:13" x14ac:dyDescent="0.35">
      <c r="A63">
        <v>21</v>
      </c>
      <c r="B63" s="18">
        <v>7.6263430567750046</v>
      </c>
      <c r="C63" s="18">
        <v>294.12086016808445</v>
      </c>
      <c r="D63" t="str">
        <f>'Credit factor'!$D$2</f>
        <v>Catastrophic failure</v>
      </c>
      <c r="E63" s="31">
        <f>'Credit factor'!$E$2</f>
        <v>4.9999999999999998E-7</v>
      </c>
      <c r="G63" s="36">
        <v>8.9213900000000006</v>
      </c>
      <c r="H63" s="36"/>
      <c r="I63" s="36">
        <v>38.326599999999999</v>
      </c>
      <c r="J63" s="37"/>
      <c r="K63">
        <f t="shared" si="0"/>
        <v>38.326599999999999</v>
      </c>
      <c r="L63" s="38">
        <f t="shared" si="2"/>
        <v>7.3446413377999998E-4</v>
      </c>
      <c r="M63" s="40">
        <f>+SUM(L63:L65)</f>
        <v>4.1830627046004994E-2</v>
      </c>
    </row>
    <row r="64" spans="1:13" x14ac:dyDescent="0.35">
      <c r="D64" t="str">
        <f>'Credit factor'!$D$3</f>
        <v>10 mm leak</v>
      </c>
      <c r="E64" s="31">
        <f>'Credit factor'!$E$3</f>
        <v>1.0000000000000001E-5</v>
      </c>
      <c r="G64" s="39">
        <v>49.921700000000001</v>
      </c>
      <c r="H64" s="36">
        <v>26.962599999999998</v>
      </c>
      <c r="I64" s="36">
        <v>38.326599999999999</v>
      </c>
      <c r="J64" s="37">
        <v>64.091099999999997</v>
      </c>
      <c r="K64">
        <f t="shared" si="0"/>
        <v>64.091099999999997</v>
      </c>
      <c r="L64" s="38">
        <f t="shared" si="2"/>
        <v>4.1076690992099998E-2</v>
      </c>
      <c r="M64" s="43"/>
    </row>
    <row r="65" spans="1:13" x14ac:dyDescent="0.35">
      <c r="D65" t="str">
        <f>'Credit factor'!$D$4</f>
        <v>Continuous 10 min</v>
      </c>
      <c r="E65" s="31">
        <f>'Credit factor'!$E$4</f>
        <v>4.9999999999999998E-7</v>
      </c>
      <c r="G65" s="39">
        <v>6.2404999999999999</v>
      </c>
      <c r="H65" s="36">
        <v>2.9556900000000002</v>
      </c>
      <c r="I65" s="36"/>
      <c r="J65" s="37"/>
      <c r="K65">
        <f t="shared" si="0"/>
        <v>6.2404999999999999</v>
      </c>
      <c r="L65" s="38">
        <f t="shared" si="2"/>
        <v>1.9471920125E-5</v>
      </c>
      <c r="M65" s="43"/>
    </row>
    <row r="66" spans="1:13" x14ac:dyDescent="0.35">
      <c r="A66">
        <v>22</v>
      </c>
      <c r="B66" s="18">
        <v>7.3263430567750047</v>
      </c>
      <c r="C66" s="18">
        <v>279.38805421100625</v>
      </c>
      <c r="D66" t="str">
        <f>'Credit factor'!$D$2</f>
        <v>Catastrophic failure</v>
      </c>
      <c r="E66" s="31">
        <f>'Credit factor'!$E$2</f>
        <v>4.9999999999999998E-7</v>
      </c>
      <c r="G66" s="36">
        <v>8.7962100000000003</v>
      </c>
      <c r="H66" s="36"/>
      <c r="I66" s="36">
        <v>37.849800000000002</v>
      </c>
      <c r="J66" s="37"/>
      <c r="K66">
        <f t="shared" si="0"/>
        <v>37.849800000000002</v>
      </c>
      <c r="L66" s="38">
        <f t="shared" si="2"/>
        <v>7.1630368002000011E-4</v>
      </c>
      <c r="M66" s="40">
        <f>+SUM(L66:L68)</f>
        <v>4.1383334280108208E-2</v>
      </c>
    </row>
    <row r="67" spans="1:13" x14ac:dyDescent="0.35">
      <c r="D67" t="str">
        <f>'Credit factor'!$D$3</f>
        <v>10 mm leak</v>
      </c>
      <c r="E67" s="31">
        <f>'Credit factor'!$E$3</f>
        <v>1.0000000000000001E-5</v>
      </c>
      <c r="G67" s="39">
        <v>49.128399999999999</v>
      </c>
      <c r="H67" s="36">
        <v>26.412299999999998</v>
      </c>
      <c r="I67" s="36">
        <v>37.849800000000002</v>
      </c>
      <c r="J67" s="37">
        <v>63.756</v>
      </c>
      <c r="K67">
        <f t="shared" ref="K67" si="3">MAX(G67:J67)</f>
        <v>63.756</v>
      </c>
      <c r="L67" s="38">
        <f t="shared" si="2"/>
        <v>4.0648275360000007E-2</v>
      </c>
      <c r="M67" s="43"/>
    </row>
    <row r="68" spans="1:13" x14ac:dyDescent="0.35">
      <c r="D68" t="str">
        <f>'Credit factor'!$D$4</f>
        <v>Continuous 10 min</v>
      </c>
      <c r="E68" s="31">
        <f>'Credit factor'!$E$4</f>
        <v>4.9999999999999998E-7</v>
      </c>
      <c r="G68" s="39">
        <v>6.1245799999999999</v>
      </c>
      <c r="H68" s="36">
        <v>2.9047499999999999</v>
      </c>
      <c r="I68" s="36"/>
      <c r="J68" s="37"/>
      <c r="K68">
        <f t="shared" ref="K68:K99" si="4">MAX(G68:J68)</f>
        <v>6.1245799999999999</v>
      </c>
      <c r="L68" s="38">
        <f t="shared" ref="L68:L99" si="5">+K68^2*E68</f>
        <v>1.8755240088200002E-5</v>
      </c>
      <c r="M68" s="43"/>
    </row>
    <row r="69" spans="1:13" x14ac:dyDescent="0.35">
      <c r="A69">
        <v>23</v>
      </c>
      <c r="B69">
        <v>7.0263430567750049</v>
      </c>
      <c r="C69">
        <v>265.01451722984677</v>
      </c>
      <c r="D69" t="str">
        <f>'Credit factor'!$D$2</f>
        <v>Catastrophic failure</v>
      </c>
      <c r="E69" s="31">
        <f>'Credit factor'!$E$2</f>
        <v>4.9999999999999998E-7</v>
      </c>
      <c r="G69" s="39">
        <v>8.6652900000000006</v>
      </c>
      <c r="H69" s="36"/>
      <c r="I69" s="36">
        <v>37.356999999999999</v>
      </c>
      <c r="J69" s="37"/>
      <c r="K69">
        <f t="shared" si="4"/>
        <v>37.356999999999999</v>
      </c>
      <c r="L69" s="38">
        <f t="shared" si="5"/>
        <v>6.9777272449999996E-4</v>
      </c>
      <c r="M69" s="40">
        <f t="shared" ref="M69" si="6">+SUM(L69:L71)</f>
        <v>4.0654397138199211E-2</v>
      </c>
    </row>
    <row r="70" spans="1:13" x14ac:dyDescent="0.35">
      <c r="D70" t="str">
        <f>'Credit factor'!$D$3</f>
        <v>10 mm leak</v>
      </c>
      <c r="E70" s="31">
        <f>'Credit factor'!$E$3</f>
        <v>1.0000000000000001E-5</v>
      </c>
      <c r="G70" s="39">
        <v>48.229799999999997</v>
      </c>
      <c r="H70" s="36">
        <v>25.8338</v>
      </c>
      <c r="I70" s="36">
        <v>37.356999999999999</v>
      </c>
      <c r="J70" s="37">
        <v>63.197000000000003</v>
      </c>
      <c r="K70">
        <f t="shared" si="4"/>
        <v>63.197000000000003</v>
      </c>
      <c r="L70" s="38">
        <f t="shared" si="5"/>
        <v>3.9938608090000008E-2</v>
      </c>
      <c r="M70" s="43"/>
    </row>
    <row r="71" spans="1:13" x14ac:dyDescent="0.35">
      <c r="D71" t="str">
        <f>'Credit factor'!$D$4</f>
        <v>Continuous 10 min</v>
      </c>
      <c r="E71" s="31">
        <f>'Credit factor'!$E$4</f>
        <v>4.9999999999999998E-7</v>
      </c>
      <c r="G71" s="39">
        <v>6.0027200000000001</v>
      </c>
      <c r="H71" s="36">
        <v>2.8517700000000001</v>
      </c>
      <c r="I71" s="36"/>
      <c r="J71" s="37"/>
      <c r="K71">
        <f t="shared" si="4"/>
        <v>6.0027200000000001</v>
      </c>
      <c r="L71" s="38">
        <f t="shared" si="5"/>
        <v>1.8016323699200001E-5</v>
      </c>
      <c r="M71" s="43"/>
    </row>
    <row r="72" spans="1:13" x14ac:dyDescent="0.35">
      <c r="A72">
        <v>24</v>
      </c>
      <c r="B72">
        <v>6.7263430567750051</v>
      </c>
      <c r="C72">
        <v>250.98370867304567</v>
      </c>
      <c r="D72" t="str">
        <f>'Credit factor'!$D$2</f>
        <v>Catastrophic failure</v>
      </c>
      <c r="E72" s="31">
        <f>'Credit factor'!$E$2</f>
        <v>4.9999999999999998E-7</v>
      </c>
      <c r="G72" s="39">
        <v>8.5303599999999999</v>
      </c>
      <c r="H72" s="36"/>
      <c r="I72" s="36">
        <v>36.831400000000002</v>
      </c>
      <c r="J72" s="37"/>
      <c r="K72">
        <f t="shared" si="4"/>
        <v>36.831400000000002</v>
      </c>
      <c r="L72" s="38">
        <f t="shared" si="5"/>
        <v>6.7827601298000011E-4</v>
      </c>
      <c r="M72" s="40">
        <f t="shared" ref="M72" si="7">+SUM(L72:L74)</f>
        <v>3.8640900999798056E-2</v>
      </c>
    </row>
    <row r="73" spans="1:13" x14ac:dyDescent="0.35">
      <c r="D73" t="str">
        <f>'Credit factor'!$D$3</f>
        <v>10 mm leak</v>
      </c>
      <c r="E73" s="31">
        <f>'Credit factor'!$E$3</f>
        <v>1.0000000000000001E-5</v>
      </c>
      <c r="G73" s="39">
        <v>47.320099999999996</v>
      </c>
      <c r="H73" s="36">
        <v>25.2485</v>
      </c>
      <c r="I73" s="36">
        <v>36.831400000000002</v>
      </c>
      <c r="J73" s="37">
        <v>61.599800000000002</v>
      </c>
      <c r="K73">
        <f t="shared" si="4"/>
        <v>61.599800000000002</v>
      </c>
      <c r="L73" s="38">
        <f t="shared" si="5"/>
        <v>3.7945353600400009E-2</v>
      </c>
      <c r="M73" s="43"/>
    </row>
    <row r="74" spans="1:13" x14ac:dyDescent="0.35">
      <c r="D74" t="str">
        <f>'Credit factor'!$D$4</f>
        <v>Continuous 10 min</v>
      </c>
      <c r="E74" s="31">
        <f>'Credit factor'!$E$4</f>
        <v>4.9999999999999998E-7</v>
      </c>
      <c r="G74" s="39">
        <v>5.8773099999999996</v>
      </c>
      <c r="H74" s="36">
        <v>2.7973599999999998</v>
      </c>
      <c r="I74" s="36"/>
      <c r="J74" s="37"/>
      <c r="K74">
        <f t="shared" si="4"/>
        <v>5.8773099999999996</v>
      </c>
      <c r="L74" s="38">
        <f t="shared" si="5"/>
        <v>1.7271386418049994E-5</v>
      </c>
      <c r="M74" s="43"/>
    </row>
    <row r="75" spans="1:13" x14ac:dyDescent="0.35">
      <c r="A75">
        <v>25</v>
      </c>
      <c r="B75">
        <v>6.4263430567750053</v>
      </c>
      <c r="C75">
        <v>237.27992769823427</v>
      </c>
      <c r="D75" t="str">
        <f>'Credit factor'!$D$2</f>
        <v>Catastrophic failure</v>
      </c>
      <c r="E75" s="31">
        <f>'Credit factor'!$E$2</f>
        <v>4.9999999999999998E-7</v>
      </c>
      <c r="G75" s="39">
        <v>8.3911599999999993</v>
      </c>
      <c r="H75" s="36"/>
      <c r="I75" s="36">
        <v>36.304299999999998</v>
      </c>
      <c r="J75" s="37"/>
      <c r="K75">
        <f t="shared" si="4"/>
        <v>36.304299999999998</v>
      </c>
      <c r="L75" s="38">
        <f t="shared" si="5"/>
        <v>6.5900109924499979E-4</v>
      </c>
      <c r="M75" s="40">
        <f t="shared" ref="M75" si="8">+SUM(L75:L77)</f>
        <v>3.6013346879469804E-2</v>
      </c>
    </row>
    <row r="76" spans="1:13" x14ac:dyDescent="0.35">
      <c r="D76" t="str">
        <f>'Credit factor'!$D$3</f>
        <v>10 mm leak</v>
      </c>
      <c r="E76" s="31">
        <f>'Credit factor'!$E$3</f>
        <v>1.0000000000000001E-5</v>
      </c>
      <c r="G76" s="39">
        <v>46.389699999999998</v>
      </c>
      <c r="H76" s="36">
        <v>24.657599999999999</v>
      </c>
      <c r="I76" s="36">
        <v>36.304299999999998</v>
      </c>
      <c r="J76" s="37">
        <v>59.445599999999999</v>
      </c>
      <c r="K76">
        <f t="shared" si="4"/>
        <v>59.445599999999999</v>
      </c>
      <c r="L76" s="38">
        <f t="shared" si="5"/>
        <v>3.5337793593600002E-2</v>
      </c>
      <c r="M76" s="43"/>
    </row>
    <row r="77" spans="1:13" x14ac:dyDescent="0.35">
      <c r="D77" t="str">
        <f>'Credit factor'!$D$4</f>
        <v>Continuous 10 min</v>
      </c>
      <c r="E77" s="31">
        <f>'Credit factor'!$E$4</f>
        <v>4.9999999999999998E-7</v>
      </c>
      <c r="G77" s="39">
        <v>5.7536399999999999</v>
      </c>
      <c r="H77" s="36">
        <v>2.7414299999999998</v>
      </c>
      <c r="I77" s="36"/>
      <c r="J77" s="37"/>
      <c r="K77">
        <f t="shared" si="4"/>
        <v>5.7536399999999999</v>
      </c>
      <c r="L77" s="38">
        <f t="shared" si="5"/>
        <v>1.6552186624800002E-5</v>
      </c>
      <c r="M77" s="43"/>
    </row>
    <row r="78" spans="1:13" x14ac:dyDescent="0.35">
      <c r="A78">
        <v>26</v>
      </c>
      <c r="B78">
        <v>6.1263430567750055</v>
      </c>
      <c r="C78">
        <v>223.88826055347673</v>
      </c>
      <c r="D78" t="str">
        <f>'Credit factor'!$D$2</f>
        <v>Catastrophic failure</v>
      </c>
      <c r="E78" s="31">
        <f>'Credit factor'!$E$2</f>
        <v>4.9999999999999998E-7</v>
      </c>
      <c r="G78" s="39">
        <v>8.2485499999999998</v>
      </c>
      <c r="H78" s="36"/>
      <c r="I78" s="36">
        <v>35.738500000000002</v>
      </c>
      <c r="J78" s="37"/>
      <c r="K78">
        <f t="shared" si="4"/>
        <v>35.738500000000002</v>
      </c>
      <c r="L78" s="38">
        <f t="shared" si="5"/>
        <v>6.3862019112499995E-4</v>
      </c>
      <c r="M78" s="40">
        <f t="shared" ref="M78" si="9">+SUM(L78:L80)</f>
        <v>2.7923916569745053E-2</v>
      </c>
    </row>
    <row r="79" spans="1:13" x14ac:dyDescent="0.35">
      <c r="D79" t="str">
        <f>'Credit factor'!$D$3</f>
        <v>10 mm leak</v>
      </c>
      <c r="E79" s="31">
        <f>'Credit factor'!$E$3</f>
        <v>1.0000000000000001E-5</v>
      </c>
      <c r="G79" s="39">
        <v>45.478000000000002</v>
      </c>
      <c r="H79" s="36">
        <v>24.058299999999999</v>
      </c>
      <c r="I79" s="36">
        <v>35.738500000000002</v>
      </c>
      <c r="J79" s="37">
        <v>52.220199999999998</v>
      </c>
      <c r="K79">
        <f t="shared" si="4"/>
        <v>52.220199999999998</v>
      </c>
      <c r="L79" s="38">
        <f t="shared" si="5"/>
        <v>2.7269492880400002E-2</v>
      </c>
      <c r="M79" s="43"/>
    </row>
    <row r="80" spans="1:13" x14ac:dyDescent="0.35">
      <c r="D80" t="str">
        <f>'Credit factor'!$D$4</f>
        <v>Continuous 10 min</v>
      </c>
      <c r="E80" s="31">
        <f>'Credit factor'!$E$4</f>
        <v>4.9999999999999998E-7</v>
      </c>
      <c r="G80" s="39">
        <v>5.6220100000000004</v>
      </c>
      <c r="H80" s="36">
        <v>2.67889</v>
      </c>
      <c r="I80" s="36"/>
      <c r="J80" s="37"/>
      <c r="K80">
        <f t="shared" si="4"/>
        <v>5.6220100000000004</v>
      </c>
      <c r="L80" s="38">
        <f t="shared" si="5"/>
        <v>1.5803498220050001E-5</v>
      </c>
      <c r="M80" s="43"/>
    </row>
    <row r="81" spans="1:13" x14ac:dyDescent="0.35">
      <c r="A81">
        <v>27</v>
      </c>
      <c r="B81">
        <v>5.8263430567750056</v>
      </c>
      <c r="C81">
        <v>210.7945318662405</v>
      </c>
      <c r="D81" t="str">
        <f>'Credit factor'!$D$2</f>
        <v>Catastrophic failure</v>
      </c>
      <c r="E81" s="31">
        <f>'Credit factor'!$E$2</f>
        <v>4.9999999999999998E-7</v>
      </c>
      <c r="G81" s="39">
        <v>8.1038599999999992</v>
      </c>
      <c r="H81" s="36"/>
      <c r="I81" s="36">
        <v>35.175400000000003</v>
      </c>
      <c r="J81" s="37"/>
      <c r="K81">
        <f t="shared" si="4"/>
        <v>35.175400000000003</v>
      </c>
      <c r="L81" s="38">
        <f t="shared" si="5"/>
        <v>6.1865438258000007E-4</v>
      </c>
      <c r="M81" s="40">
        <f t="shared" ref="M81" si="10">+SUM(L81:L83)</f>
        <v>2.7529563275334446E-2</v>
      </c>
    </row>
    <row r="82" spans="1:13" x14ac:dyDescent="0.35">
      <c r="D82" t="str">
        <f>'Credit factor'!$D$3</f>
        <v>10 mm leak</v>
      </c>
      <c r="E82" s="31">
        <f>'Credit factor'!$E$3</f>
        <v>1.0000000000000001E-5</v>
      </c>
      <c r="G82" s="39">
        <v>44.484499999999997</v>
      </c>
      <c r="H82" s="36">
        <v>23.450500000000002</v>
      </c>
      <c r="I82" s="36">
        <v>35.175400000000003</v>
      </c>
      <c r="J82" s="37">
        <v>51.861199999999997</v>
      </c>
      <c r="K82">
        <f t="shared" si="4"/>
        <v>51.861199999999997</v>
      </c>
      <c r="L82" s="38">
        <f t="shared" si="5"/>
        <v>2.6895840654399997E-2</v>
      </c>
      <c r="M82" s="43"/>
    </row>
    <row r="83" spans="1:13" x14ac:dyDescent="0.35">
      <c r="D83" t="str">
        <f>'Credit factor'!$D$4</f>
        <v>Continuous 10 min</v>
      </c>
      <c r="E83" s="31">
        <f>'Credit factor'!$E$4</f>
        <v>4.9999999999999998E-7</v>
      </c>
      <c r="G83" s="39">
        <v>5.4896700000000003</v>
      </c>
      <c r="H83" s="36">
        <v>2.6196299999999999</v>
      </c>
      <c r="I83" s="36"/>
      <c r="J83" s="37"/>
      <c r="K83">
        <f t="shared" si="4"/>
        <v>5.4896700000000003</v>
      </c>
      <c r="L83" s="38">
        <f t="shared" si="5"/>
        <v>1.506823835445E-5</v>
      </c>
      <c r="M83" s="43"/>
    </row>
    <row r="84" spans="1:13" x14ac:dyDescent="0.35">
      <c r="A84">
        <v>28</v>
      </c>
      <c r="B84">
        <v>5.5263430567750058</v>
      </c>
      <c r="C84">
        <v>197.98525950566162</v>
      </c>
      <c r="D84" t="str">
        <f>'Credit factor'!$D$2</f>
        <v>Catastrophic failure</v>
      </c>
      <c r="E84" s="31">
        <f>'Credit factor'!$E$2</f>
        <v>4.9999999999999998E-7</v>
      </c>
      <c r="G84" s="39">
        <v>7.9524100000000004</v>
      </c>
      <c r="H84" s="36"/>
      <c r="I84" s="36">
        <v>34.595599999999997</v>
      </c>
      <c r="J84" s="37"/>
      <c r="K84">
        <f t="shared" si="4"/>
        <v>34.595599999999997</v>
      </c>
      <c r="L84" s="38">
        <f t="shared" si="5"/>
        <v>5.9842776967999986E-4</v>
      </c>
      <c r="M84" s="40">
        <f t="shared" ref="M84" si="11">+SUM(L84:L86)</f>
        <v>2.7117558524563195E-2</v>
      </c>
    </row>
    <row r="85" spans="1:13" x14ac:dyDescent="0.35">
      <c r="D85" t="str">
        <f>'Credit factor'!$D$3</f>
        <v>10 mm leak</v>
      </c>
      <c r="E85" s="31">
        <f>'Credit factor'!$E$3</f>
        <v>1.0000000000000001E-5</v>
      </c>
      <c r="G85" s="39">
        <v>43.509799999999998</v>
      </c>
      <c r="H85" s="36">
        <v>22.832699999999999</v>
      </c>
      <c r="I85" s="36">
        <v>34.595599999999997</v>
      </c>
      <c r="J85" s="37">
        <v>51.482799999999997</v>
      </c>
      <c r="K85">
        <f t="shared" si="4"/>
        <v>51.482799999999997</v>
      </c>
      <c r="L85" s="38">
        <f t="shared" si="5"/>
        <v>2.6504786958399997E-2</v>
      </c>
      <c r="M85" s="43"/>
    </row>
    <row r="86" spans="1:13" x14ac:dyDescent="0.35">
      <c r="D86" t="str">
        <f>'Credit factor'!$D$4</f>
        <v>Continuous 10 min</v>
      </c>
      <c r="E86" s="31">
        <f>'Credit factor'!$E$4</f>
        <v>4.9999999999999998E-7</v>
      </c>
      <c r="G86" s="39">
        <v>5.3560800000000004</v>
      </c>
      <c r="H86" s="36">
        <v>2.5585</v>
      </c>
      <c r="I86" s="36"/>
      <c r="J86" s="37"/>
      <c r="K86">
        <f t="shared" si="4"/>
        <v>5.3560800000000004</v>
      </c>
      <c r="L86" s="38">
        <f t="shared" si="5"/>
        <v>1.4343796483200001E-5</v>
      </c>
      <c r="M86" s="43"/>
    </row>
    <row r="87" spans="1:13" x14ac:dyDescent="0.35">
      <c r="A87">
        <v>29</v>
      </c>
      <c r="B87">
        <v>5.226343056775006</v>
      </c>
      <c r="C87">
        <v>185.44761271598315</v>
      </c>
      <c r="D87" t="str">
        <f>'Credit factor'!$D$2</f>
        <v>Catastrophic failure</v>
      </c>
      <c r="E87" s="31">
        <f>'Credit factor'!$E$2</f>
        <v>4.9999999999999998E-7</v>
      </c>
      <c r="G87" s="39">
        <v>7.7950600000000003</v>
      </c>
      <c r="H87" s="36"/>
      <c r="I87" s="36">
        <v>33.9878</v>
      </c>
      <c r="J87" s="37"/>
      <c r="K87">
        <f t="shared" si="4"/>
        <v>33.9878</v>
      </c>
      <c r="L87" s="38">
        <f t="shared" si="5"/>
        <v>5.7758527442E-4</v>
      </c>
      <c r="M87" s="40">
        <f t="shared" ref="M87" si="12">+SUM(L87:L89)</f>
        <v>2.6691205473764204E-2</v>
      </c>
    </row>
    <row r="88" spans="1:13" x14ac:dyDescent="0.35">
      <c r="D88" t="str">
        <f>'Credit factor'!$D$3</f>
        <v>10 mm leak</v>
      </c>
      <c r="E88" s="31">
        <f>'Credit factor'!$E$3</f>
        <v>1.0000000000000001E-5</v>
      </c>
      <c r="G88" s="39">
        <v>42.527700000000003</v>
      </c>
      <c r="H88" s="36">
        <v>22.2088</v>
      </c>
      <c r="I88" s="36">
        <v>33.9878</v>
      </c>
      <c r="J88" s="37">
        <v>51.088200000000001</v>
      </c>
      <c r="K88">
        <f t="shared" si="4"/>
        <v>51.088200000000001</v>
      </c>
      <c r="L88" s="38">
        <f t="shared" si="5"/>
        <v>2.6100041792400004E-2</v>
      </c>
      <c r="M88" s="43"/>
    </row>
    <row r="89" spans="1:13" x14ac:dyDescent="0.35">
      <c r="D89" t="str">
        <f>'Credit factor'!$D$4</f>
        <v>Continuous 10 min</v>
      </c>
      <c r="E89" s="31">
        <f>'Credit factor'!$E$4</f>
        <v>4.9999999999999998E-7</v>
      </c>
      <c r="G89" s="39">
        <v>5.21122</v>
      </c>
      <c r="H89" s="36">
        <v>2.4953699999999999</v>
      </c>
      <c r="I89" s="36"/>
      <c r="J89" s="37"/>
      <c r="K89">
        <f t="shared" si="4"/>
        <v>5.21122</v>
      </c>
      <c r="L89" s="38">
        <f t="shared" si="5"/>
        <v>1.3578406944199998E-5</v>
      </c>
      <c r="M89" s="43"/>
    </row>
    <row r="90" spans="1:13" x14ac:dyDescent="0.35">
      <c r="A90">
        <v>30</v>
      </c>
      <c r="B90">
        <v>4.9263430567750062</v>
      </c>
      <c r="C90">
        <v>173.16937324789305</v>
      </c>
      <c r="D90" t="str">
        <f>'Credit factor'!$D$2</f>
        <v>Catastrophic failure</v>
      </c>
      <c r="E90" s="31">
        <f>'Credit factor'!$E$2</f>
        <v>4.9999999999999998E-7</v>
      </c>
      <c r="G90" s="39">
        <v>7.6316800000000002</v>
      </c>
      <c r="H90" s="36"/>
      <c r="I90" s="36">
        <v>33.3369</v>
      </c>
      <c r="J90" s="37"/>
      <c r="K90">
        <f t="shared" si="4"/>
        <v>33.3369</v>
      </c>
      <c r="L90" s="38">
        <f t="shared" si="5"/>
        <v>5.5567445080499992E-4</v>
      </c>
      <c r="M90" s="40">
        <f t="shared" ref="M90" si="13">+SUM(L90:L92)</f>
        <v>2.6241698396305205E-2</v>
      </c>
    </row>
    <row r="91" spans="1:13" x14ac:dyDescent="0.35">
      <c r="D91" t="str">
        <f>'Credit factor'!$D$3</f>
        <v>10 mm leak</v>
      </c>
      <c r="E91" s="31">
        <f>'Credit factor'!$E$3</f>
        <v>1.0000000000000001E-5</v>
      </c>
      <c r="G91" s="39">
        <v>41.474400000000003</v>
      </c>
      <c r="H91" s="36">
        <v>21.5672</v>
      </c>
      <c r="I91" s="36">
        <v>33.3369</v>
      </c>
      <c r="J91" s="37">
        <v>50.668700000000001</v>
      </c>
      <c r="K91">
        <f t="shared" si="4"/>
        <v>50.668700000000001</v>
      </c>
      <c r="L91" s="38">
        <f t="shared" si="5"/>
        <v>2.5673171596900003E-2</v>
      </c>
      <c r="M91" s="43"/>
    </row>
    <row r="92" spans="1:13" x14ac:dyDescent="0.35">
      <c r="D92" t="str">
        <f>'Credit factor'!$D$4</f>
        <v>Continuous 10 min</v>
      </c>
      <c r="E92" s="31">
        <f>'Credit factor'!$E$4</f>
        <v>4.9999999999999998E-7</v>
      </c>
      <c r="G92" s="39">
        <v>5.0699800000000002</v>
      </c>
      <c r="H92" s="36">
        <v>2.4300600000000001</v>
      </c>
      <c r="I92" s="36"/>
      <c r="J92" s="37"/>
      <c r="K92">
        <f t="shared" si="4"/>
        <v>5.0699800000000002</v>
      </c>
      <c r="L92" s="38">
        <f t="shared" si="5"/>
        <v>1.28523486002E-5</v>
      </c>
      <c r="M92" s="43"/>
    </row>
    <row r="93" spans="1:13" x14ac:dyDescent="0.35">
      <c r="A93">
        <v>31</v>
      </c>
      <c r="B93">
        <v>4.6263430567750063</v>
      </c>
      <c r="C93">
        <v>161.1388992402681</v>
      </c>
      <c r="D93" t="str">
        <f>'Credit factor'!$D$2</f>
        <v>Catastrophic failure</v>
      </c>
      <c r="E93" s="31">
        <f>'Credit factor'!$E$2</f>
        <v>4.9999999999999998E-7</v>
      </c>
      <c r="G93" s="39">
        <v>7.4621199999999996</v>
      </c>
      <c r="H93" s="36"/>
      <c r="I93" s="36">
        <v>32.682699999999997</v>
      </c>
      <c r="J93" s="37"/>
      <c r="K93">
        <f t="shared" si="4"/>
        <v>32.682699999999997</v>
      </c>
      <c r="L93" s="38">
        <f t="shared" si="5"/>
        <v>5.3407943964499979E-4</v>
      </c>
      <c r="M93" s="40">
        <f t="shared" ref="M93" si="14">+SUM(L93:L95)</f>
        <v>2.5807259097699452E-2</v>
      </c>
    </row>
    <row r="94" spans="1:13" x14ac:dyDescent="0.35">
      <c r="D94" t="str">
        <f>'Credit factor'!$D$3</f>
        <v>10 mm leak</v>
      </c>
      <c r="E94" s="31">
        <f>'Credit factor'!$E$3</f>
        <v>1.0000000000000001E-5</v>
      </c>
      <c r="G94" s="39">
        <v>40.3596</v>
      </c>
      <c r="H94" s="36">
        <v>20.911100000000001</v>
      </c>
      <c r="I94" s="36">
        <v>32.682699999999997</v>
      </c>
      <c r="J94" s="37">
        <v>50.260399999999997</v>
      </c>
      <c r="K94">
        <f t="shared" si="4"/>
        <v>50.260399999999997</v>
      </c>
      <c r="L94" s="38">
        <f t="shared" si="5"/>
        <v>2.52610780816E-2</v>
      </c>
      <c r="M94" s="43"/>
    </row>
    <row r="95" spans="1:13" x14ac:dyDescent="0.35">
      <c r="D95" t="str">
        <f>'Credit factor'!$D$4</f>
        <v>Continuous 10 min</v>
      </c>
      <c r="E95" s="31">
        <f>'Credit factor'!$E$4</f>
        <v>4.9999999999999998E-7</v>
      </c>
      <c r="G95" s="39">
        <v>4.91967</v>
      </c>
      <c r="H95" s="36">
        <v>2.36239</v>
      </c>
      <c r="I95" s="36"/>
      <c r="J95" s="37"/>
      <c r="K95">
        <f t="shared" si="4"/>
        <v>4.91967</v>
      </c>
      <c r="L95" s="38">
        <f t="shared" si="5"/>
        <v>1.2101576454449999E-5</v>
      </c>
      <c r="M95" s="43"/>
    </row>
    <row r="96" spans="1:13" x14ac:dyDescent="0.35">
      <c r="A96">
        <v>32</v>
      </c>
      <c r="B96">
        <v>4.3263430567750065</v>
      </c>
      <c r="C96">
        <v>149.34509162791232</v>
      </c>
      <c r="D96" t="str">
        <f>'Credit factor'!$D$2</f>
        <v>Catastrophic failure</v>
      </c>
      <c r="E96" s="31">
        <f>'Credit factor'!$E$2</f>
        <v>4.9999999999999998E-7</v>
      </c>
      <c r="G96" s="39">
        <v>7.2841800000000001</v>
      </c>
      <c r="H96" s="36"/>
      <c r="I96" s="36">
        <v>31.9818</v>
      </c>
      <c r="J96" s="37"/>
      <c r="K96">
        <f t="shared" si="4"/>
        <v>31.9818</v>
      </c>
      <c r="L96" s="38">
        <f t="shared" si="5"/>
        <v>5.1141776562000003E-4</v>
      </c>
      <c r="M96" s="40">
        <f t="shared" ref="M96" si="15">+SUM(L96:L98)</f>
        <v>2.5371123854646453E-2</v>
      </c>
    </row>
    <row r="97" spans="1:13" x14ac:dyDescent="0.35">
      <c r="D97" t="str">
        <f>'Credit factor'!$D$3</f>
        <v>10 mm leak</v>
      </c>
      <c r="E97" s="31">
        <f>'Credit factor'!$E$3</f>
        <v>1.0000000000000001E-5</v>
      </c>
      <c r="G97" s="39">
        <v>39.268500000000003</v>
      </c>
      <c r="H97" s="36">
        <v>20.238499999999998</v>
      </c>
      <c r="I97" s="36">
        <v>31.9818</v>
      </c>
      <c r="J97" s="37">
        <v>49.848100000000002</v>
      </c>
      <c r="K97">
        <f t="shared" si="4"/>
        <v>49.848100000000002</v>
      </c>
      <c r="L97" s="38">
        <f t="shared" si="5"/>
        <v>2.4848330736100002E-2</v>
      </c>
      <c r="M97" s="43"/>
    </row>
    <row r="98" spans="1:13" x14ac:dyDescent="0.35">
      <c r="D98" t="str">
        <f>'Credit factor'!$D$4</f>
        <v>Continuous 10 min</v>
      </c>
      <c r="E98" s="31">
        <f>'Credit factor'!$E$4</f>
        <v>4.9999999999999998E-7</v>
      </c>
      <c r="G98" s="39">
        <v>4.7697700000000003</v>
      </c>
      <c r="H98" s="36">
        <v>2.2921</v>
      </c>
      <c r="I98" s="36"/>
      <c r="J98" s="37"/>
      <c r="K98">
        <f t="shared" si="4"/>
        <v>4.7697700000000003</v>
      </c>
      <c r="L98" s="38">
        <f t="shared" si="5"/>
        <v>1.1375352926450001E-5</v>
      </c>
      <c r="M98" s="43"/>
    </row>
    <row r="99" spans="1:13" x14ac:dyDescent="0.35">
      <c r="A99">
        <v>33</v>
      </c>
      <c r="B99">
        <v>4.0263430567750067</v>
      </c>
      <c r="C99">
        <v>137.77736287155932</v>
      </c>
      <c r="D99" t="str">
        <f>'Credit factor'!$D$2</f>
        <v>Catastrophic failure</v>
      </c>
      <c r="E99" s="31">
        <f>'Credit factor'!$E$2</f>
        <v>4.9999999999999998E-7</v>
      </c>
      <c r="G99" s="39">
        <v>7.0974000000000004</v>
      </c>
      <c r="H99" s="36"/>
      <c r="I99" s="36">
        <v>31.269200000000001</v>
      </c>
      <c r="J99" s="37"/>
      <c r="K99">
        <f t="shared" si="4"/>
        <v>31.269200000000001</v>
      </c>
      <c r="L99" s="38">
        <f t="shared" si="5"/>
        <v>4.8888143432000003E-4</v>
      </c>
      <c r="M99" s="40">
        <f t="shared" ref="M99" si="16">+SUM(L99:L101)</f>
        <v>2.4261130128114053E-2</v>
      </c>
    </row>
    <row r="100" spans="1:13" x14ac:dyDescent="0.35">
      <c r="D100" t="str">
        <f>'Credit factor'!$D$3</f>
        <v>10 mm leak</v>
      </c>
      <c r="E100" s="31">
        <f>'Credit factor'!$E$3</f>
        <v>1.0000000000000001E-5</v>
      </c>
      <c r="G100" s="39">
        <v>38.065300000000001</v>
      </c>
      <c r="H100" s="36">
        <v>19.5473</v>
      </c>
      <c r="I100" s="36">
        <v>31.269200000000001</v>
      </c>
      <c r="J100" s="37">
        <v>48.745899999999999</v>
      </c>
      <c r="K100">
        <f t="shared" ref="K100:K131" si="17">MAX(G100:J100)</f>
        <v>48.745899999999999</v>
      </c>
      <c r="L100" s="38">
        <f t="shared" ref="L100:L131" si="18">+K100^2*E100</f>
        <v>2.3761627668100003E-2</v>
      </c>
      <c r="M100" s="43"/>
    </row>
    <row r="101" spans="1:13" x14ac:dyDescent="0.35">
      <c r="D101" t="str">
        <f>'Credit factor'!$D$4</f>
        <v>Continuous 10 min</v>
      </c>
      <c r="E101" s="31">
        <f>'Credit factor'!$E$4</f>
        <v>4.9999999999999998E-7</v>
      </c>
      <c r="G101" s="39">
        <v>4.6089099999999998</v>
      </c>
      <c r="H101" s="36">
        <v>2.2200700000000002</v>
      </c>
      <c r="I101" s="36"/>
      <c r="J101" s="37"/>
      <c r="K101">
        <f t="shared" si="17"/>
        <v>4.6089099999999998</v>
      </c>
      <c r="L101" s="38">
        <f t="shared" si="18"/>
        <v>1.0621025694049999E-5</v>
      </c>
      <c r="M101" s="43"/>
    </row>
    <row r="102" spans="1:13" x14ac:dyDescent="0.35">
      <c r="A102">
        <v>34</v>
      </c>
      <c r="B102">
        <v>3.7263430567750069</v>
      </c>
      <c r="C102">
        <v>126.4256078249762</v>
      </c>
      <c r="D102" t="str">
        <f>'Credit factor'!$D$2</f>
        <v>Catastrophic failure</v>
      </c>
      <c r="E102" s="31">
        <f>'Credit factor'!$E$2</f>
        <v>4.9999999999999998E-7</v>
      </c>
      <c r="G102" s="39">
        <v>6.9050900000000004</v>
      </c>
      <c r="H102" s="36"/>
      <c r="I102" s="36">
        <v>30.504000000000001</v>
      </c>
      <c r="J102" s="37"/>
      <c r="K102">
        <f t="shared" si="17"/>
        <v>30.504000000000001</v>
      </c>
      <c r="L102" s="38">
        <f t="shared" si="18"/>
        <v>4.6524700800000004E-4</v>
      </c>
      <c r="M102" s="40">
        <f t="shared" ref="M102" si="19">+SUM(L102:L104)</f>
        <v>1.564436204058E-2</v>
      </c>
    </row>
    <row r="103" spans="1:13" x14ac:dyDescent="0.35">
      <c r="D103" t="str">
        <f>'Credit factor'!$D$3</f>
        <v>10 mm leak</v>
      </c>
      <c r="E103" s="31">
        <f>'Credit factor'!$E$3</f>
        <v>1.0000000000000001E-5</v>
      </c>
      <c r="G103" s="39">
        <v>36.8399</v>
      </c>
      <c r="H103" s="36">
        <v>18.834299999999999</v>
      </c>
      <c r="I103" s="36">
        <v>30.504000000000001</v>
      </c>
      <c r="J103" s="37">
        <v>38.947699999999998</v>
      </c>
      <c r="K103">
        <f t="shared" si="17"/>
        <v>38.947699999999998</v>
      </c>
      <c r="L103" s="38">
        <f t="shared" si="18"/>
        <v>1.51692333529E-2</v>
      </c>
      <c r="M103" s="43"/>
    </row>
    <row r="104" spans="1:13" x14ac:dyDescent="0.35">
      <c r="D104" t="str">
        <f>'Credit factor'!$D$4</f>
        <v>Continuous 10 min</v>
      </c>
      <c r="E104" s="31">
        <f>'Credit factor'!$E$4</f>
        <v>4.9999999999999998E-7</v>
      </c>
      <c r="G104" s="39">
        <v>4.4455999999999998</v>
      </c>
      <c r="H104" s="36">
        <v>2.1437400000000002</v>
      </c>
      <c r="I104" s="36"/>
      <c r="J104" s="37"/>
      <c r="K104">
        <f t="shared" si="17"/>
        <v>4.4455999999999998</v>
      </c>
      <c r="L104" s="38">
        <f t="shared" si="18"/>
        <v>9.8816796799999997E-6</v>
      </c>
      <c r="M104" s="43"/>
    </row>
    <row r="105" spans="1:13" x14ac:dyDescent="0.35">
      <c r="A105">
        <v>35</v>
      </c>
      <c r="B105">
        <v>3.4263430567750071</v>
      </c>
      <c r="C105">
        <v>115.28017657068806</v>
      </c>
      <c r="D105" t="str">
        <f>'Credit factor'!$D$2</f>
        <v>Catastrophic failure</v>
      </c>
      <c r="E105" s="31">
        <f>'Credit factor'!$E$2</f>
        <v>4.9999999999999998E-7</v>
      </c>
      <c r="G105" s="39">
        <v>6.7008999999999999</v>
      </c>
      <c r="H105" s="36"/>
      <c r="I105" s="36">
        <v>29.698699999999999</v>
      </c>
      <c r="J105" s="37"/>
      <c r="K105">
        <f t="shared" si="17"/>
        <v>29.698699999999999</v>
      </c>
      <c r="L105" s="38">
        <f t="shared" si="18"/>
        <v>4.4100639084499995E-4</v>
      </c>
      <c r="M105" s="40">
        <f t="shared" ref="M105" si="20">+SUM(L105:L107)</f>
        <v>1.5281589779534801E-2</v>
      </c>
    </row>
    <row r="106" spans="1:13" x14ac:dyDescent="0.35">
      <c r="D106" t="str">
        <f>'Credit factor'!$D$3</f>
        <v>10 mm leak</v>
      </c>
      <c r="E106" s="31">
        <f>'Credit factor'!$E$3</f>
        <v>1.0000000000000001E-5</v>
      </c>
      <c r="G106" s="39">
        <v>35.562600000000003</v>
      </c>
      <c r="H106" s="36">
        <v>18.096299999999999</v>
      </c>
      <c r="I106" s="36">
        <v>29.698699999999999</v>
      </c>
      <c r="J106" s="37">
        <v>38.511600000000001</v>
      </c>
      <c r="K106">
        <f t="shared" si="17"/>
        <v>38.511600000000001</v>
      </c>
      <c r="L106" s="38">
        <f t="shared" si="18"/>
        <v>1.4831433345600002E-2</v>
      </c>
      <c r="M106" s="43"/>
    </row>
    <row r="107" spans="1:13" x14ac:dyDescent="0.35">
      <c r="D107" t="str">
        <f>'Credit factor'!$D$4</f>
        <v>Continuous 10 min</v>
      </c>
      <c r="E107" s="31">
        <f>'Credit factor'!$E$4</f>
        <v>4.9999999999999998E-7</v>
      </c>
      <c r="G107" s="39">
        <v>4.2778600000000004</v>
      </c>
      <c r="H107" s="36">
        <v>2.06386</v>
      </c>
      <c r="I107" s="36"/>
      <c r="J107" s="37"/>
      <c r="K107">
        <f t="shared" si="17"/>
        <v>4.2778600000000004</v>
      </c>
      <c r="L107" s="38">
        <f t="shared" si="18"/>
        <v>9.1500430898000019E-6</v>
      </c>
      <c r="M107" s="43"/>
    </row>
    <row r="108" spans="1:13" x14ac:dyDescent="0.35">
      <c r="A108">
        <v>36</v>
      </c>
      <c r="B108">
        <v>3.1263430567750072</v>
      </c>
      <c r="C108">
        <v>104.33184907085308</v>
      </c>
      <c r="D108" t="str">
        <f>'Credit factor'!$D$2</f>
        <v>Catastrophic failure</v>
      </c>
      <c r="E108" s="31">
        <f>'Credit factor'!$E$2</f>
        <v>4.9999999999999998E-7</v>
      </c>
      <c r="G108" s="39">
        <v>6.4827300000000001</v>
      </c>
      <c r="H108" s="36"/>
      <c r="I108" s="36">
        <v>28.844100000000001</v>
      </c>
      <c r="J108" s="37"/>
      <c r="K108">
        <f t="shared" si="17"/>
        <v>28.844100000000001</v>
      </c>
      <c r="L108" s="38">
        <f t="shared" si="18"/>
        <v>4.1599105240499999E-4</v>
      </c>
      <c r="M108" s="40">
        <f t="shared" ref="M108" si="21">+SUM(L108:L110)</f>
        <v>1.4897389050885E-2</v>
      </c>
    </row>
    <row r="109" spans="1:13" x14ac:dyDescent="0.35">
      <c r="D109" t="str">
        <f>'Credit factor'!$D$3</f>
        <v>10 mm leak</v>
      </c>
      <c r="E109" s="31">
        <f>'Credit factor'!$E$3</f>
        <v>1.0000000000000001E-5</v>
      </c>
      <c r="G109" s="39">
        <v>34.183399999999999</v>
      </c>
      <c r="H109" s="36">
        <v>17.3291</v>
      </c>
      <c r="I109" s="36">
        <v>28.844100000000001</v>
      </c>
      <c r="J109" s="37">
        <v>38.043399999999998</v>
      </c>
      <c r="K109">
        <f t="shared" si="17"/>
        <v>38.043399999999998</v>
      </c>
      <c r="L109" s="38">
        <f t="shared" si="18"/>
        <v>1.4473002835599999E-2</v>
      </c>
      <c r="M109" s="43"/>
    </row>
    <row r="110" spans="1:13" x14ac:dyDescent="0.35">
      <c r="D110" t="str">
        <f>'Credit factor'!$D$4</f>
        <v>Continuous 10 min</v>
      </c>
      <c r="E110" s="31">
        <f>'Credit factor'!$E$4</f>
        <v>4.9999999999999998E-7</v>
      </c>
      <c r="G110" s="39">
        <v>4.0975999999999999</v>
      </c>
      <c r="H110" s="36">
        <v>1.97993</v>
      </c>
      <c r="I110" s="36"/>
      <c r="J110" s="37"/>
      <c r="K110">
        <f t="shared" si="17"/>
        <v>4.0975999999999999</v>
      </c>
      <c r="L110" s="38">
        <f t="shared" si="18"/>
        <v>8.395162879999998E-6</v>
      </c>
      <c r="M110" s="43"/>
    </row>
    <row r="111" spans="1:13" x14ac:dyDescent="0.35">
      <c r="A111">
        <v>37</v>
      </c>
      <c r="B111">
        <v>2.8263430567750074</v>
      </c>
      <c r="C111">
        <v>93.571811493340789</v>
      </c>
      <c r="D111" t="str">
        <f>'Credit factor'!$D$2</f>
        <v>Catastrophic failure</v>
      </c>
      <c r="E111" s="31">
        <f>'Credit factor'!$E$2</f>
        <v>4.9999999999999998E-7</v>
      </c>
      <c r="G111" s="39">
        <v>6.2526299999999999</v>
      </c>
      <c r="H111" s="36"/>
      <c r="I111" s="36">
        <v>27.918700000000001</v>
      </c>
      <c r="J111" s="37"/>
      <c r="K111">
        <f t="shared" si="17"/>
        <v>27.918700000000001</v>
      </c>
      <c r="L111" s="38">
        <f t="shared" si="18"/>
        <v>3.89726904845E-4</v>
      </c>
      <c r="M111" s="40">
        <f t="shared" ref="M111" si="22">+SUM(L111:L113)</f>
        <v>1.4493487545741052E-2</v>
      </c>
    </row>
    <row r="112" spans="1:13" x14ac:dyDescent="0.35">
      <c r="D112" t="str">
        <f>'Credit factor'!$D$3</f>
        <v>10 mm leak</v>
      </c>
      <c r="E112" s="31">
        <f>'Credit factor'!$E$3</f>
        <v>1.0000000000000001E-5</v>
      </c>
      <c r="G112" s="39">
        <v>32.729700000000001</v>
      </c>
      <c r="H112" s="36">
        <v>16.5274</v>
      </c>
      <c r="I112" s="36">
        <v>27.918700000000001</v>
      </c>
      <c r="J112" s="37">
        <v>37.544800000000002</v>
      </c>
      <c r="K112">
        <f t="shared" si="17"/>
        <v>37.544800000000002</v>
      </c>
      <c r="L112" s="38">
        <f t="shared" si="18"/>
        <v>1.4096120070400004E-2</v>
      </c>
      <c r="M112" s="43"/>
    </row>
    <row r="113" spans="1:13" x14ac:dyDescent="0.35">
      <c r="D113" t="str">
        <f>'Credit factor'!$D$4</f>
        <v>Continuous 10 min</v>
      </c>
      <c r="E113" s="31">
        <f>'Credit factor'!$E$4</f>
        <v>4.9999999999999998E-7</v>
      </c>
      <c r="G113" s="39">
        <v>3.9091100000000001</v>
      </c>
      <c r="H113" s="36">
        <v>1.8913500000000001</v>
      </c>
      <c r="I113" s="36"/>
      <c r="J113" s="37"/>
      <c r="K113">
        <f t="shared" si="17"/>
        <v>3.9091100000000001</v>
      </c>
      <c r="L113" s="38">
        <f t="shared" si="18"/>
        <v>7.6405704960499994E-6</v>
      </c>
      <c r="M113" s="43"/>
    </row>
    <row r="114" spans="1:13" x14ac:dyDescent="0.35">
      <c r="A114">
        <v>38</v>
      </c>
      <c r="B114">
        <v>2.5263430567750076</v>
      </c>
      <c r="C114">
        <v>82.991634085263783</v>
      </c>
      <c r="D114" t="str">
        <f>'Credit factor'!$D$2</f>
        <v>Catastrophic failure</v>
      </c>
      <c r="E114" s="31">
        <f>'Credit factor'!$E$2</f>
        <v>4.9999999999999998E-7</v>
      </c>
      <c r="G114" s="39">
        <v>6.0046499999999998</v>
      </c>
      <c r="H114" s="36"/>
      <c r="I114" s="36">
        <v>26.927499999999998</v>
      </c>
      <c r="J114" s="37"/>
      <c r="K114">
        <f t="shared" si="17"/>
        <v>26.927499999999998</v>
      </c>
      <c r="L114" s="38">
        <f t="shared" si="18"/>
        <v>3.6254512812499995E-4</v>
      </c>
      <c r="M114" s="40">
        <f t="shared" ref="M114" si="23">+SUM(L114:L116)</f>
        <v>1.408526947694105E-2</v>
      </c>
    </row>
    <row r="115" spans="1:13" x14ac:dyDescent="0.35">
      <c r="D115" t="str">
        <f>'Credit factor'!$D$3</f>
        <v>10 mm leak</v>
      </c>
      <c r="E115" s="31">
        <f>'Credit factor'!$E$3</f>
        <v>1.0000000000000001E-5</v>
      </c>
      <c r="G115" s="39">
        <v>31.175799999999999</v>
      </c>
      <c r="H115" s="36">
        <v>15.6846</v>
      </c>
      <c r="I115" s="36">
        <v>26.927499999999998</v>
      </c>
      <c r="J115" s="37">
        <v>37.0349</v>
      </c>
      <c r="K115">
        <f t="shared" si="17"/>
        <v>37.0349</v>
      </c>
      <c r="L115" s="38">
        <f t="shared" si="18"/>
        <v>1.37158381801E-2</v>
      </c>
      <c r="M115" s="43"/>
    </row>
    <row r="116" spans="1:13" x14ac:dyDescent="0.35">
      <c r="D116" t="str">
        <f>'Credit factor'!$D$4</f>
        <v>Continuous 10 min</v>
      </c>
      <c r="E116" s="31">
        <f>'Credit factor'!$E$4</f>
        <v>4.9999999999999998E-7</v>
      </c>
      <c r="G116" s="39">
        <v>3.7111100000000001</v>
      </c>
      <c r="H116" s="36">
        <v>1.7973399999999999</v>
      </c>
      <c r="I116" s="36"/>
      <c r="J116" s="37"/>
      <c r="K116">
        <f t="shared" si="17"/>
        <v>3.7111100000000001</v>
      </c>
      <c r="L116" s="38">
        <f t="shared" si="18"/>
        <v>6.8861687160500002E-6</v>
      </c>
      <c r="M116" s="43"/>
    </row>
    <row r="117" spans="1:13" x14ac:dyDescent="0.35">
      <c r="A117">
        <v>39</v>
      </c>
      <c r="B117">
        <v>2.2263430567750078</v>
      </c>
      <c r="C117">
        <v>72.583250477226343</v>
      </c>
      <c r="D117" t="str">
        <f>'Credit factor'!$D$2</f>
        <v>Catastrophic failure</v>
      </c>
      <c r="E117" s="31">
        <f>'Credit factor'!$E$2</f>
        <v>4.9999999999999998E-7</v>
      </c>
      <c r="G117" s="39">
        <v>5.7408200000000003</v>
      </c>
      <c r="H117" s="36"/>
      <c r="I117" s="36">
        <v>25.873200000000001</v>
      </c>
      <c r="J117" s="37"/>
      <c r="K117">
        <f t="shared" si="17"/>
        <v>25.873200000000001</v>
      </c>
      <c r="L117" s="38">
        <f t="shared" si="18"/>
        <v>3.3471123912000002E-4</v>
      </c>
      <c r="M117" s="40">
        <f t="shared" ref="M117" si="24">+SUM(L117:L119)</f>
        <v>1.366063884151005E-2</v>
      </c>
    </row>
    <row r="118" spans="1:13" x14ac:dyDescent="0.35">
      <c r="D118" t="str">
        <f>'Credit factor'!$D$3</f>
        <v>10 mm leak</v>
      </c>
      <c r="E118" s="31">
        <f>'Credit factor'!$E$3</f>
        <v>1.0000000000000001E-5</v>
      </c>
      <c r="G118" s="39">
        <v>29.502099999999999</v>
      </c>
      <c r="H118" s="36">
        <v>14.792</v>
      </c>
      <c r="I118" s="36">
        <v>25.873200000000001</v>
      </c>
      <c r="J118" s="37">
        <v>36.496299999999998</v>
      </c>
      <c r="K118">
        <f t="shared" si="17"/>
        <v>36.496299999999998</v>
      </c>
      <c r="L118" s="38">
        <f t="shared" si="18"/>
        <v>1.33197991369E-2</v>
      </c>
      <c r="M118" s="43"/>
    </row>
    <row r="119" spans="1:13" x14ac:dyDescent="0.35">
      <c r="D119" t="str">
        <f>'Credit factor'!$D$4</f>
        <v>Continuous 10 min</v>
      </c>
      <c r="E119" s="31">
        <f>'Credit factor'!$E$4</f>
        <v>4.9999999999999998E-7</v>
      </c>
      <c r="G119" s="39">
        <v>3.5009899999999998</v>
      </c>
      <c r="H119" s="36">
        <v>1.6968799999999999</v>
      </c>
      <c r="I119" s="36"/>
      <c r="J119" s="37"/>
      <c r="K119">
        <f t="shared" si="17"/>
        <v>3.5009899999999998</v>
      </c>
      <c r="L119" s="38">
        <f t="shared" si="18"/>
        <v>6.1284654900499985E-6</v>
      </c>
      <c r="M119" s="43"/>
    </row>
    <row r="120" spans="1:13" x14ac:dyDescent="0.35">
      <c r="A120">
        <v>40</v>
      </c>
      <c r="B120">
        <v>1.9263430567750077</v>
      </c>
      <c r="C120">
        <v>62.338938311510539</v>
      </c>
      <c r="D120" t="str">
        <f>'Credit factor'!$D$2</f>
        <v>Catastrophic failure</v>
      </c>
      <c r="E120" s="31">
        <f>'Credit factor'!$E$2</f>
        <v>4.9999999999999998E-7</v>
      </c>
      <c r="G120" s="39">
        <v>5.4493499999999999</v>
      </c>
      <c r="H120" s="36"/>
      <c r="I120" s="36">
        <v>24.7026</v>
      </c>
      <c r="J120" s="37"/>
      <c r="K120">
        <f t="shared" si="17"/>
        <v>24.7026</v>
      </c>
      <c r="L120" s="38">
        <f t="shared" si="18"/>
        <v>3.0510922338000001E-4</v>
      </c>
      <c r="M120" s="40">
        <f t="shared" ref="M120" si="25">+SUM(L120:L122)</f>
        <v>7.9551379888412512E-3</v>
      </c>
    </row>
    <row r="121" spans="1:13" x14ac:dyDescent="0.35">
      <c r="D121" t="str">
        <f>'Credit factor'!$D$3</f>
        <v>10 mm leak</v>
      </c>
      <c r="E121" s="31">
        <f>'Credit factor'!$E$3</f>
        <v>1.0000000000000001E-5</v>
      </c>
      <c r="G121" s="39">
        <v>27.649000000000001</v>
      </c>
      <c r="H121" s="36">
        <v>13.754899999999999</v>
      </c>
      <c r="I121" s="36">
        <v>24.7026</v>
      </c>
      <c r="J121" s="37">
        <v>25.940999999999999</v>
      </c>
      <c r="K121">
        <f t="shared" si="17"/>
        <v>27.649000000000001</v>
      </c>
      <c r="L121" s="38">
        <f t="shared" si="18"/>
        <v>7.6446720100000008E-3</v>
      </c>
      <c r="M121" s="43"/>
    </row>
    <row r="122" spans="1:13" x14ac:dyDescent="0.35">
      <c r="D122" t="str">
        <f>'Credit factor'!$D$4</f>
        <v>Continuous 10 min</v>
      </c>
      <c r="E122" s="31">
        <f>'Credit factor'!$E$4</f>
        <v>4.9999999999999998E-7</v>
      </c>
      <c r="G122" s="39">
        <v>3.2731499999999998</v>
      </c>
      <c r="H122" s="36">
        <v>1.5886100000000001</v>
      </c>
      <c r="I122" s="36"/>
      <c r="J122" s="37"/>
      <c r="K122">
        <f t="shared" si="17"/>
        <v>3.2731499999999998</v>
      </c>
      <c r="L122" s="38">
        <f t="shared" si="18"/>
        <v>5.3567554612499995E-6</v>
      </c>
      <c r="M122" s="43"/>
    </row>
    <row r="123" spans="1:13" x14ac:dyDescent="0.35">
      <c r="A123">
        <v>41</v>
      </c>
      <c r="B123">
        <v>1.6263430567750077</v>
      </c>
      <c r="C123">
        <v>52.251301096432691</v>
      </c>
      <c r="D123" t="str">
        <f>'Credit factor'!$D$2</f>
        <v>Catastrophic failure</v>
      </c>
      <c r="E123" s="31">
        <f>'Credit factor'!$E$2</f>
        <v>4.9999999999999998E-7</v>
      </c>
      <c r="G123" s="39">
        <v>5.1263300000000003</v>
      </c>
      <c r="H123" s="36"/>
      <c r="I123" s="36">
        <v>23.4055</v>
      </c>
      <c r="J123" s="37"/>
      <c r="K123">
        <f t="shared" si="17"/>
        <v>23.4055</v>
      </c>
      <c r="L123" s="38">
        <f t="shared" si="18"/>
        <v>2.7390871512500002E-4</v>
      </c>
      <c r="M123" s="40">
        <f t="shared" ref="M123" si="26">+SUM(L123:L125)</f>
        <v>6.8386042385862504E-3</v>
      </c>
    </row>
    <row r="124" spans="1:13" x14ac:dyDescent="0.35">
      <c r="D124" t="str">
        <f>'Credit factor'!$D$3</f>
        <v>10 mm leak</v>
      </c>
      <c r="E124" s="31">
        <f>'Credit factor'!$E$3</f>
        <v>1.0000000000000001E-5</v>
      </c>
      <c r="G124" s="39">
        <v>25.6127</v>
      </c>
      <c r="H124" s="36">
        <v>12.642899999999999</v>
      </c>
      <c r="I124" s="36">
        <v>23.405000000000001</v>
      </c>
      <c r="J124" s="37">
        <v>25.371200000000002</v>
      </c>
      <c r="K124">
        <f t="shared" si="17"/>
        <v>25.6127</v>
      </c>
      <c r="L124" s="38">
        <f t="shared" si="18"/>
        <v>6.5601040129000003E-3</v>
      </c>
      <c r="M124" s="43"/>
    </row>
    <row r="125" spans="1:13" x14ac:dyDescent="0.35">
      <c r="D125" t="str">
        <f>'Credit factor'!$D$4</f>
        <v>Continuous 10 min</v>
      </c>
      <c r="E125" s="31">
        <f>'Credit factor'!$E$4</f>
        <v>4.9999999999999998E-7</v>
      </c>
      <c r="G125" s="39">
        <v>3.0303499999999999</v>
      </c>
      <c r="H125" s="36">
        <v>1.46899</v>
      </c>
      <c r="I125" s="36"/>
      <c r="J125" s="37"/>
      <c r="K125">
        <f t="shared" si="17"/>
        <v>3.0303499999999999</v>
      </c>
      <c r="L125" s="38">
        <f t="shared" si="18"/>
        <v>4.5915105612499997E-6</v>
      </c>
      <c r="M125" s="43"/>
    </row>
    <row r="126" spans="1:13" x14ac:dyDescent="0.35">
      <c r="A126">
        <v>42</v>
      </c>
      <c r="B126">
        <v>1.3263430567750076</v>
      </c>
      <c r="C126">
        <v>42.313251197267093</v>
      </c>
      <c r="D126" t="str">
        <f>'Credit factor'!$D$2</f>
        <v>Catastrophic failure</v>
      </c>
      <c r="E126" s="31">
        <f>'Credit factor'!$E$2</f>
        <v>4.9999999999999998E-7</v>
      </c>
      <c r="G126" s="39">
        <v>4.7638499999999997</v>
      </c>
      <c r="H126" s="36"/>
      <c r="I126" s="36">
        <v>21.922499999999999</v>
      </c>
      <c r="J126" s="37"/>
      <c r="K126">
        <f t="shared" si="17"/>
        <v>21.922499999999999</v>
      </c>
      <c r="L126" s="38">
        <f t="shared" si="18"/>
        <v>2.4029800312499997E-4</v>
      </c>
      <c r="M126" s="40">
        <f t="shared" ref="M126" si="27">+SUM(L126:L128)</f>
        <v>6.3739366591692012E-3</v>
      </c>
    </row>
    <row r="127" spans="1:13" x14ac:dyDescent="0.35">
      <c r="D127" t="str">
        <f>'Credit factor'!$D$3</f>
        <v>10 mm leak</v>
      </c>
      <c r="E127" s="31">
        <f>'Credit factor'!$E$3</f>
        <v>1.0000000000000001E-5</v>
      </c>
      <c r="G127" s="39">
        <v>23.278400000000001</v>
      </c>
      <c r="H127" s="36">
        <v>11.433999999999999</v>
      </c>
      <c r="I127" s="36">
        <v>21.922499999999999</v>
      </c>
      <c r="J127" s="37">
        <v>24.758500000000002</v>
      </c>
      <c r="K127">
        <f t="shared" si="17"/>
        <v>24.758500000000002</v>
      </c>
      <c r="L127" s="38">
        <f t="shared" si="18"/>
        <v>6.1298332225000014E-3</v>
      </c>
      <c r="M127" s="43"/>
    </row>
    <row r="128" spans="1:13" x14ac:dyDescent="0.35">
      <c r="D128" t="str">
        <f>'Credit factor'!$D$4</f>
        <v>Continuous 10 min</v>
      </c>
      <c r="E128" s="31">
        <f>'Credit factor'!$E$4</f>
        <v>4.9999999999999998E-7</v>
      </c>
      <c r="G128" s="39">
        <v>2.7587799999999998</v>
      </c>
      <c r="H128" s="36">
        <v>1.33924</v>
      </c>
      <c r="I128" s="36"/>
      <c r="J128" s="37"/>
      <c r="K128">
        <f t="shared" si="17"/>
        <v>2.7587799999999998</v>
      </c>
      <c r="L128" s="38">
        <f t="shared" si="18"/>
        <v>3.8054335441999995E-6</v>
      </c>
      <c r="M128" s="43"/>
    </row>
    <row r="129" spans="1:13" x14ac:dyDescent="0.35">
      <c r="A129">
        <v>43</v>
      </c>
      <c r="B129">
        <v>1.0263430567750076</v>
      </c>
      <c r="C129">
        <v>32.517993881540832</v>
      </c>
      <c r="D129" t="str">
        <f>'Credit factor'!$D$2</f>
        <v>Catastrophic failure</v>
      </c>
      <c r="E129" s="31">
        <f>'Credit factor'!$E$2</f>
        <v>4.9999999999999998E-7</v>
      </c>
      <c r="G129" s="39">
        <v>4.3420199999999998</v>
      </c>
      <c r="H129" s="36"/>
      <c r="I129" s="36">
        <v>20.195900000000002</v>
      </c>
      <c r="J129" s="37"/>
      <c r="K129">
        <f t="shared" si="17"/>
        <v>20.195900000000002</v>
      </c>
      <c r="L129" s="38">
        <f t="shared" si="18"/>
        <v>2.0393718840500003E-4</v>
      </c>
      <c r="M129" s="40">
        <f t="shared" ref="M129" si="28">+SUM(L129:L131)</f>
        <v>6.0209782856854516E-3</v>
      </c>
    </row>
    <row r="130" spans="1:13" x14ac:dyDescent="0.35">
      <c r="D130" t="str">
        <f>'Credit factor'!$D$3</f>
        <v>10 mm leak</v>
      </c>
      <c r="E130" s="31">
        <f>'Credit factor'!$E$3</f>
        <v>1.0000000000000001E-5</v>
      </c>
      <c r="G130" s="39">
        <v>20.555900000000001</v>
      </c>
      <c r="H130" s="36">
        <v>10.0899</v>
      </c>
      <c r="I130" s="36">
        <v>20.195900000000002</v>
      </c>
      <c r="J130" s="37">
        <v>24.112300000000001</v>
      </c>
      <c r="K130">
        <f t="shared" si="17"/>
        <v>24.112300000000001</v>
      </c>
      <c r="L130" s="38">
        <f t="shared" si="18"/>
        <v>5.8140301129000014E-3</v>
      </c>
      <c r="M130" s="43"/>
    </row>
    <row r="131" spans="1:13" x14ac:dyDescent="0.35">
      <c r="D131" t="str">
        <f>'Credit factor'!$D$4</f>
        <v>Continuous 10 min</v>
      </c>
      <c r="E131" s="31">
        <f>'Credit factor'!$E$4</f>
        <v>4.9999999999999998E-7</v>
      </c>
      <c r="G131" s="39">
        <v>2.45397</v>
      </c>
      <c r="H131" s="36">
        <v>1.18997</v>
      </c>
      <c r="I131" s="36"/>
      <c r="J131" s="37"/>
      <c r="K131">
        <f t="shared" si="17"/>
        <v>2.45397</v>
      </c>
      <c r="L131" s="38">
        <f t="shared" si="18"/>
        <v>3.01098438045E-6</v>
      </c>
      <c r="M131" s="43"/>
    </row>
    <row r="132" spans="1:13" x14ac:dyDescent="0.35">
      <c r="A132">
        <v>44</v>
      </c>
      <c r="B132">
        <v>0.72634305677500755</v>
      </c>
      <c r="C132">
        <v>22.859012343226638</v>
      </c>
      <c r="D132" t="str">
        <f>'Credit factor'!$D$2</f>
        <v>Catastrophic failure</v>
      </c>
      <c r="E132" s="31">
        <f>'Credit factor'!$E$2</f>
        <v>4.9999999999999998E-7</v>
      </c>
      <c r="G132" s="39">
        <v>3.8354499999999998</v>
      </c>
      <c r="H132" s="36"/>
      <c r="I132" s="36">
        <v>18.081099999999999</v>
      </c>
      <c r="J132" s="37"/>
      <c r="K132">
        <f t="shared" ref="K132:K140" si="29">MAX(G132:J132)</f>
        <v>18.081099999999999</v>
      </c>
      <c r="L132" s="38">
        <f t="shared" ref="L132:L140" si="30">+K132^2*E132</f>
        <v>1.63463088605E-4</v>
      </c>
      <c r="M132" s="40">
        <f t="shared" ref="M132" si="31">+SUM(L132:L134)</f>
        <v>3.4349319612050002E-3</v>
      </c>
    </row>
    <row r="133" spans="1:13" x14ac:dyDescent="0.35">
      <c r="D133" t="str">
        <f>'Credit factor'!$D$3</f>
        <v>10 mm leak</v>
      </c>
      <c r="E133" s="31">
        <f>'Credit factor'!$E$3</f>
        <v>1.0000000000000001E-5</v>
      </c>
      <c r="G133" s="39">
        <v>17.264199999999999</v>
      </c>
      <c r="H133" s="36">
        <v>8.5407700000000002</v>
      </c>
      <c r="I133" s="36">
        <v>18.081099999999999</v>
      </c>
      <c r="J133" s="37">
        <v>13.404400000000001</v>
      </c>
      <c r="K133">
        <f t="shared" si="29"/>
        <v>18.081099999999999</v>
      </c>
      <c r="L133" s="38">
        <f t="shared" si="30"/>
        <v>3.2692617721000001E-3</v>
      </c>
      <c r="M133" s="43"/>
    </row>
    <row r="134" spans="1:13" x14ac:dyDescent="0.35">
      <c r="D134" t="str">
        <f>'Credit factor'!$D$4</f>
        <v>Continuous 10 min</v>
      </c>
      <c r="E134" s="31">
        <f>'Credit factor'!$E$4</f>
        <v>4.9999999999999998E-7</v>
      </c>
      <c r="G134" s="39">
        <v>2.101</v>
      </c>
      <c r="H134" s="36">
        <v>1.0503800000000001</v>
      </c>
      <c r="I134" s="36"/>
      <c r="J134" s="37"/>
      <c r="K134">
        <f t="shared" si="29"/>
        <v>2.101</v>
      </c>
      <c r="L134" s="38">
        <f t="shared" si="30"/>
        <v>2.2071005000000001E-6</v>
      </c>
      <c r="M134" s="43"/>
    </row>
    <row r="135" spans="1:13" x14ac:dyDescent="0.35">
      <c r="A135">
        <v>45</v>
      </c>
      <c r="B135">
        <v>0.42634305677500756</v>
      </c>
      <c r="C135">
        <v>13.33005363647324</v>
      </c>
      <c r="D135" t="str">
        <f>'Credit factor'!$D$2</f>
        <v>Catastrophic failure</v>
      </c>
      <c r="E135" s="31">
        <f>'Credit factor'!$E$2</f>
        <v>4.9999999999999998E-7</v>
      </c>
      <c r="G135" s="39">
        <v>3.1636600000000001</v>
      </c>
      <c r="H135" s="36"/>
      <c r="I135" s="36">
        <v>15.0738</v>
      </c>
      <c r="J135" s="37"/>
      <c r="K135">
        <f t="shared" si="29"/>
        <v>15.0738</v>
      </c>
      <c r="L135" s="38">
        <f t="shared" si="30"/>
        <v>1.1360972322E-4</v>
      </c>
      <c r="M135" s="40">
        <f t="shared" ref="M135" si="32">+SUM(L135:L137)</f>
        <v>2.3872548371312004E-3</v>
      </c>
    </row>
    <row r="136" spans="1:13" x14ac:dyDescent="0.35">
      <c r="D136" t="str">
        <f>'Credit factor'!$D$3</f>
        <v>10 mm leak</v>
      </c>
      <c r="E136" s="31">
        <f>'Credit factor'!$E$3</f>
        <v>1.0000000000000001E-5</v>
      </c>
      <c r="G136" s="39">
        <v>13.0243</v>
      </c>
      <c r="H136" s="36">
        <v>6.62927</v>
      </c>
      <c r="I136" s="36">
        <v>15.0738</v>
      </c>
      <c r="J136" s="37">
        <v>12.635</v>
      </c>
      <c r="K136">
        <f t="shared" si="29"/>
        <v>15.0738</v>
      </c>
      <c r="L136" s="38">
        <f t="shared" si="30"/>
        <v>2.2721944644000002E-3</v>
      </c>
      <c r="M136" s="43"/>
    </row>
    <row r="137" spans="1:13" x14ac:dyDescent="0.35">
      <c r="D137" t="str">
        <f>'Credit factor'!$D$4</f>
        <v>Continuous 10 min</v>
      </c>
      <c r="E137" s="31">
        <f>'Credit factor'!$E$4</f>
        <v>4.9999999999999998E-7</v>
      </c>
      <c r="G137" s="39">
        <v>1.7033199999999999</v>
      </c>
      <c r="H137" s="36">
        <v>0.88563700000000001</v>
      </c>
      <c r="I137" s="36"/>
      <c r="J137" s="37"/>
      <c r="K137">
        <f t="shared" si="29"/>
        <v>1.7033199999999999</v>
      </c>
      <c r="L137" s="38">
        <f t="shared" si="30"/>
        <v>1.4506495112E-6</v>
      </c>
      <c r="M137" s="43"/>
    </row>
    <row r="138" spans="1:13" x14ac:dyDescent="0.35">
      <c r="A138">
        <v>46</v>
      </c>
      <c r="B138">
        <v>0.12634305677500757</v>
      </c>
      <c r="C138">
        <v>3.9251154550725875</v>
      </c>
      <c r="D138" t="str">
        <f>'Credit factor'!$D$2</f>
        <v>Catastrophic failure</v>
      </c>
      <c r="E138" s="31">
        <f>'Credit factor'!$E$2</f>
        <v>4.9999999999999998E-7</v>
      </c>
      <c r="G138" s="39">
        <v>2.05951</v>
      </c>
      <c r="H138" s="36"/>
      <c r="I138" s="36">
        <v>8.0398999999999994</v>
      </c>
      <c r="J138" s="37"/>
      <c r="K138">
        <f t="shared" si="29"/>
        <v>8.0398999999999994</v>
      </c>
      <c r="L138" s="38">
        <f t="shared" si="30"/>
        <v>3.2319996004999993E-5</v>
      </c>
      <c r="M138" s="40">
        <f t="shared" ref="M138" si="33">+SUM(L138:L140)</f>
        <v>6.7946893066679994E-4</v>
      </c>
    </row>
    <row r="139" spans="1:13" x14ac:dyDescent="0.35">
      <c r="D139" t="str">
        <f>'Credit factor'!$D$3</f>
        <v>10 mm leak</v>
      </c>
      <c r="E139" s="31">
        <f>'Credit factor'!$E$3</f>
        <v>1.0000000000000001E-5</v>
      </c>
      <c r="G139" s="39">
        <v>6.9990399999999999</v>
      </c>
      <c r="H139" s="36">
        <v>3.7681</v>
      </c>
      <c r="I139" s="36">
        <v>8.0398999999999994</v>
      </c>
      <c r="J139" s="37"/>
      <c r="K139">
        <f t="shared" si="29"/>
        <v>8.0398999999999994</v>
      </c>
      <c r="L139" s="38">
        <f t="shared" si="30"/>
        <v>6.4639992009999996E-4</v>
      </c>
      <c r="M139" s="43"/>
    </row>
    <row r="140" spans="1:13" x14ac:dyDescent="0.35">
      <c r="D140" t="str">
        <f>'Credit factor'!$D$4</f>
        <v>Continuous 10 min</v>
      </c>
      <c r="E140" s="31">
        <f>'Credit factor'!$E$4</f>
        <v>4.9999999999999998E-7</v>
      </c>
      <c r="G140" s="39">
        <v>1.22394</v>
      </c>
      <c r="H140" s="36" t="s">
        <v>83</v>
      </c>
      <c r="I140" s="36"/>
      <c r="J140" s="37"/>
      <c r="K140">
        <f t="shared" si="29"/>
        <v>1.22394</v>
      </c>
      <c r="L140" s="38">
        <f t="shared" si="30"/>
        <v>7.490145618E-7</v>
      </c>
      <c r="M140" s="43"/>
    </row>
  </sheetData>
  <mergeCells count="2">
    <mergeCell ref="C1:D1"/>
    <mergeCell ref="G1:L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C3153-48C6-40D4-B73E-D843930C3DD6}">
  <dimension ref="A1:AE50"/>
  <sheetViews>
    <sheetView topLeftCell="B1" workbookViewId="0">
      <selection activeCell="D16" sqref="D16"/>
    </sheetView>
  </sheetViews>
  <sheetFormatPr defaultRowHeight="14.5" x14ac:dyDescent="0.35"/>
  <cols>
    <col min="1" max="2" width="11.08984375" customWidth="1"/>
    <col min="3" max="3" width="11.90625" customWidth="1"/>
    <col min="4" max="4" width="8.7265625" customWidth="1"/>
  </cols>
  <sheetData>
    <row r="1" spans="1:31" ht="15" thickBot="1" x14ac:dyDescent="0.4">
      <c r="A1" s="72" t="s">
        <v>89</v>
      </c>
      <c r="B1" s="80" t="s">
        <v>94</v>
      </c>
      <c r="C1" s="73" t="s">
        <v>90</v>
      </c>
      <c r="Q1" s="72" t="s">
        <v>89</v>
      </c>
      <c r="R1" s="80" t="s">
        <v>94</v>
      </c>
      <c r="S1" s="73" t="s">
        <v>90</v>
      </c>
    </row>
    <row r="2" spans="1:31" x14ac:dyDescent="0.35">
      <c r="A2" s="57">
        <f t="array" ref="A2">IFERROR(INDEX(Results_Tank1!$B$3:$B$68, SMALL(IF(Results_Tank1!$B$3:$B$68&lt;&gt;"",ROW(Results_Tank1!$B$3:$B$68)-ROW(Results_Tank1!$B$3)+1),ROW(A2))),"")</f>
        <v>4.064116308218197</v>
      </c>
      <c r="B2" s="78">
        <f>A2/$C$24</f>
        <v>0.86470559749323339</v>
      </c>
      <c r="C2" s="58">
        <f t="array" ref="C2">IFERROR(INDEX(Results_Tank1!$M$3:$M$68, SMALL(IF(Results_Tank1!$M$3:$M$68&lt;&gt;"",ROW(Results_Tank1!$M$3:$M$68)-ROW(Results_Tank1!$M$3)+1),ROW(C2))),"")</f>
        <v>2.9985623854044803E-2</v>
      </c>
      <c r="Q2" s="57">
        <f t="array" ref="Q2">IFERROR(INDEX(Results_Tank2!$B$3:$B$140, SMALL(IF(Results_Tank2!$B$3:$B$140&lt;&gt;"",ROW(Results_Tank2!$B$3:$B$140)-ROW(Results_Tank2!$B$3)+1),ROW(Q2))),"")</f>
        <v>13.326343056775016</v>
      </c>
      <c r="R2" s="78">
        <f>Q2/$S$48</f>
        <v>0.83289644104843852</v>
      </c>
      <c r="S2" s="58">
        <f t="array" ref="S2">IFERROR(INDEX(Results_Tank2!$M$3:$M$140, SMALL(IF(Results_Tank2!$M$3:$M$140&lt;&gt;"",ROW(Results_Tank2!$M$3:$M$140)-ROW(Results_Tank2!$M$3)+1),ROW(S2))),"")</f>
        <v>6.5153902131444216E-2</v>
      </c>
    </row>
    <row r="3" spans="1:31" x14ac:dyDescent="0.35">
      <c r="A3" s="59">
        <f t="array" ref="A3">IFERROR(INDEX(Results_Tank1!$B$3:$B$68, SMALL(IF(Results_Tank1!$B$3:$B$68&lt;&gt;"",ROW(Results_Tank1!$B$3:$B$68)-ROW(Results_Tank1!$B$3)+1),ROW(A3))),"")</f>
        <v>3.8641163082181968</v>
      </c>
      <c r="B3" s="77">
        <f t="shared" ref="B3:B22" si="0">A3/$C$24</f>
        <v>0.82215240600387163</v>
      </c>
      <c r="C3" s="60">
        <f t="array" ref="C3">IFERROR(INDEX(Results_Tank1!$M$3:$M$68, SMALL(IF(Results_Tank1!$M$3:$M$68&lt;&gt;"",ROW(Results_Tank1!$M$3:$M$68)-ROW(Results_Tank1!$M$3)+1),ROW(C3))),"")</f>
        <v>2.9626522735906251E-2</v>
      </c>
      <c r="Q3" s="59">
        <f t="array" ref="Q3">IFERROR(INDEX(Results_Tank2!$B$3:$B$140, SMALL(IF(Results_Tank2!$B$3:$B$140&lt;&gt;"",ROW(Results_Tank2!$B$3:$B$140)-ROW(Results_Tank2!$B$3)+1),ROW(Q3))),"")</f>
        <v>13.026343056775016</v>
      </c>
      <c r="R3" s="77">
        <f t="shared" ref="R3:R46" si="1">Q3/$S$48</f>
        <v>0.81414644104843847</v>
      </c>
      <c r="S3" s="60">
        <f t="array" ref="S3">IFERROR(INDEX(Results_Tank2!$M$3:$M$140, SMALL(IF(Results_Tank2!$M$3:$M$140&lt;&gt;"",ROW(Results_Tank2!$M$3:$M$140)-ROW(Results_Tank2!$M$3)+1),ROW(S3))),"")</f>
        <v>6.4718061684499048E-2</v>
      </c>
    </row>
    <row r="4" spans="1:31" x14ac:dyDescent="0.35">
      <c r="A4" s="59">
        <f t="array" ref="A4">IFERROR(INDEX(Results_Tank1!$B$3:$B$68, SMALL(IF(Results_Tank1!$B$3:$B$68&lt;&gt;"",ROW(Results_Tank1!$B$3:$B$68)-ROW(Results_Tank1!$B$3)+1),ROW(A4))),"")</f>
        <v>3.6641163082181967</v>
      </c>
      <c r="B4" s="77">
        <f t="shared" si="0"/>
        <v>0.77959921451450986</v>
      </c>
      <c r="C4" s="60">
        <f t="array" ref="C4">IFERROR(INDEX(Results_Tank1!$M$3:$M$68, SMALL(IF(Results_Tank1!$M$3:$M$68&lt;&gt;"",ROW(Results_Tank1!$M$3:$M$68)-ROW(Results_Tank1!$M$3)+1),ROW(C4))),"")</f>
        <v>2.9249192925105055E-2</v>
      </c>
      <c r="Q4" s="59">
        <f t="array" ref="Q4">IFERROR(INDEX(Results_Tank2!$B$3:$B$140, SMALL(IF(Results_Tank2!$B$3:$B$140&lt;&gt;"",ROW(Results_Tank2!$B$3:$B$140)-ROW(Results_Tank2!$B$3)+1),ROW(Q4))),"")</f>
        <v>12.726343056775015</v>
      </c>
      <c r="R4" s="77">
        <f t="shared" si="1"/>
        <v>0.79539644104843843</v>
      </c>
      <c r="S4" s="60">
        <f t="array" ref="S4">IFERROR(INDEX(Results_Tank2!$M$3:$M$140, SMALL(IF(Results_Tank2!$M$3:$M$140&lt;&gt;"",ROW(Results_Tank2!$M$3:$M$140)-ROW(Results_Tank2!$M$3)+1),ROW(S4))),"")</f>
        <v>6.4285473921048816E-2</v>
      </c>
    </row>
    <row r="5" spans="1:31" x14ac:dyDescent="0.35">
      <c r="A5" s="59">
        <f t="array" ref="A5">IFERROR(INDEX(Results_Tank1!$B$3:$B$68, SMALL(IF(Results_Tank1!$B$3:$B$68&lt;&gt;"",ROW(Results_Tank1!$B$3:$B$68)-ROW(Results_Tank1!$B$3)+1),ROW(A5))),"")</f>
        <v>3.4641163082181965</v>
      </c>
      <c r="B5" s="77">
        <f t="shared" si="0"/>
        <v>0.73704602302514821</v>
      </c>
      <c r="C5" s="60">
        <f t="array" ref="C5">IFERROR(INDEX(Results_Tank1!$M$3:$M$68, SMALL(IF(Results_Tank1!$M$3:$M$68&lt;&gt;"",ROW(Results_Tank1!$M$3:$M$68)-ROW(Results_Tank1!$M$3)+1),ROW(C5))),"")</f>
        <v>2.8467784469481446E-2</v>
      </c>
      <c r="Q5" s="59">
        <f t="array" ref="Q5">IFERROR(INDEX(Results_Tank2!$B$3:$B$140, SMALL(IF(Results_Tank2!$B$3:$B$140&lt;&gt;"",ROW(Results_Tank2!$B$3:$B$140)-ROW(Results_Tank2!$B$3)+1),ROW(Q5))),"")</f>
        <v>12.426343056775014</v>
      </c>
      <c r="R5" s="77">
        <f t="shared" si="1"/>
        <v>0.77664644104843839</v>
      </c>
      <c r="S5" s="60">
        <f t="array" ref="S5">IFERROR(INDEX(Results_Tank2!$M$3:$M$140, SMALL(IF(Results_Tank2!$M$3:$M$140&lt;&gt;"",ROW(Results_Tank2!$M$3:$M$140)-ROW(Results_Tank2!$M$3)+1),ROW(S5))),"")</f>
        <v>6.3820315126740204E-2</v>
      </c>
    </row>
    <row r="6" spans="1:31" x14ac:dyDescent="0.35">
      <c r="A6" s="59">
        <f t="array" ref="A6">IFERROR(INDEX(Results_Tank1!$B$3:$B$68, SMALL(IF(Results_Tank1!$B$3:$B$68&lt;&gt;"",ROW(Results_Tank1!$B$3:$B$68)-ROW(Results_Tank1!$B$3)+1),ROW(A6))),"")</f>
        <v>3.2641163082181963</v>
      </c>
      <c r="B6" s="77">
        <f t="shared" si="0"/>
        <v>0.69449283153578645</v>
      </c>
      <c r="C6" s="60">
        <f t="array" ref="C6">IFERROR(INDEX(Results_Tank1!$M$3:$M$68, SMALL(IF(Results_Tank1!$M$3:$M$68&lt;&gt;"",ROW(Results_Tank1!$M$3:$M$68)-ROW(Results_Tank1!$M$3)+1),ROW(C6))),"")</f>
        <v>2.7504235469931203E-2</v>
      </c>
      <c r="Q6" s="59">
        <f t="array" ref="Q6">IFERROR(INDEX(Results_Tank2!$B$3:$B$140, SMALL(IF(Results_Tank2!$B$3:$B$140&lt;&gt;"",ROW(Results_Tank2!$B$3:$B$140)-ROW(Results_Tank2!$B$3)+1),ROW(Q6))),"")</f>
        <v>12.126343056775013</v>
      </c>
      <c r="R6" s="77">
        <f t="shared" si="1"/>
        <v>0.75789644104843834</v>
      </c>
      <c r="S6" s="60">
        <f t="array" ref="S6">IFERROR(INDEX(Results_Tank2!$M$3:$M$140, SMALL(IF(Results_Tank2!$M$3:$M$140&lt;&gt;"",ROW(Results_Tank2!$M$3:$M$140)-ROW(Results_Tank2!$M$3)+1),ROW(S6))),"")</f>
        <v>6.3345563015772197E-2</v>
      </c>
    </row>
    <row r="7" spans="1:31" x14ac:dyDescent="0.35">
      <c r="A7" s="59">
        <f t="array" ref="A7">IFERROR(INDEX(Results_Tank1!$B$3:$B$68, SMALL(IF(Results_Tank1!$B$3:$B$68&lt;&gt;"",ROW(Results_Tank1!$B$3:$B$68)-ROW(Results_Tank1!$B$3)+1),ROW(A7))),"")</f>
        <v>3.0641163082181961</v>
      </c>
      <c r="B7" s="77">
        <f t="shared" si="0"/>
        <v>0.65193964004642468</v>
      </c>
      <c r="C7" s="60">
        <f t="array" ref="C7">IFERROR(INDEX(Results_Tank1!$M$3:$M$68, SMALL(IF(Results_Tank1!$M$3:$M$68&lt;&gt;"",ROW(Results_Tank1!$M$3:$M$68)-ROW(Results_Tank1!$M$3)+1),ROW(C7))),"")</f>
        <v>2.6431327407425001E-2</v>
      </c>
      <c r="Q7" s="59">
        <f t="array" ref="Q7">IFERROR(INDEX(Results_Tank2!$B$3:$B$140, SMALL(IF(Results_Tank2!$B$3:$B$140&lt;&gt;"",ROW(Results_Tank2!$B$3:$B$140)-ROW(Results_Tank2!$B$3)+1),ROW(Q7))),"")</f>
        <v>11.826343056775013</v>
      </c>
      <c r="R7" s="77">
        <f t="shared" si="1"/>
        <v>0.7391464410484383</v>
      </c>
      <c r="S7" s="60">
        <f t="array" ref="S7">IFERROR(INDEX(Results_Tank2!$M$3:$M$140, SMALL(IF(Results_Tank2!$M$3:$M$140&lt;&gt;"",ROW(Results_Tank2!$M$3:$M$140)-ROW(Results_Tank2!$M$3)+1),ROW(S7))),"")</f>
        <v>6.2862343972395068E-2</v>
      </c>
    </row>
    <row r="8" spans="1:31" ht="15" thickBot="1" x14ac:dyDescent="0.4">
      <c r="A8" s="61">
        <f t="array" ref="A8">IFERROR(INDEX(Results_Tank1!$B$3:$B$68, SMALL(IF(Results_Tank1!$B$3:$B$68&lt;&gt;"",ROW(Results_Tank1!$B$3:$B$68)-ROW(Results_Tank1!$B$3)+1),ROW(A8))),"")</f>
        <v>2.864116308218196</v>
      </c>
      <c r="B8" s="79">
        <f t="shared" si="0"/>
        <v>0.60938644855706292</v>
      </c>
      <c r="C8" s="62">
        <f t="array" ref="C8">IFERROR(INDEX(Results_Tank1!$M$3:$M$68, SMALL(IF(Results_Tank1!$M$3:$M$68&lt;&gt;"",ROW(Results_Tank1!$M$3:$M$68)-ROW(Results_Tank1!$M$3)+1),ROW(C8))),"")</f>
        <v>2.5183954319456053E-2</v>
      </c>
      <c r="Q8" s="59">
        <f t="array" ref="Q8">IFERROR(INDEX(Results_Tank2!$B$3:$B$140, SMALL(IF(Results_Tank2!$B$3:$B$140&lt;&gt;"",ROW(Results_Tank2!$B$3:$B$140)-ROW(Results_Tank2!$B$3)+1),ROW(Q8))),"")</f>
        <v>11.526343056775012</v>
      </c>
      <c r="R8" s="77">
        <f t="shared" si="1"/>
        <v>0.72039644104843825</v>
      </c>
      <c r="S8" s="60">
        <f t="array" ref="S8">IFERROR(INDEX(Results_Tank2!$M$3:$M$140, SMALL(IF(Results_Tank2!$M$3:$M$140&lt;&gt;"",ROW(Results_Tank2!$M$3:$M$140)-ROW(Results_Tank2!$M$3)+1),ROW(S8))),"")</f>
        <v>6.2371611544754443E-2</v>
      </c>
    </row>
    <row r="9" spans="1:31" x14ac:dyDescent="0.35">
      <c r="A9" s="57">
        <f t="array" ref="A9">IFERROR(INDEX(Results_Tank1!$B$3:$B$68, SMALL(IF(Results_Tank1!$B$3:$B$68&lt;&gt;"",ROW(Results_Tank1!$B$3:$B$68)-ROW(Results_Tank1!$B$3)+1),ROW(A9))),"")</f>
        <v>2.6641163082181958</v>
      </c>
      <c r="B9" s="78">
        <f t="shared" si="0"/>
        <v>0.56683325706770116</v>
      </c>
      <c r="C9" s="63">
        <f t="array" ref="C9">IFERROR(INDEX(Results_Tank1!$M$3:$M$68, SMALL(IF(Results_Tank1!$M$3:$M$68&lt;&gt;"",ROW(Results_Tank1!$M$3:$M$68)-ROW(Results_Tank1!$M$3)+1),ROW(C9))),"")</f>
        <v>1.7112994172116255E-2</v>
      </c>
      <c r="Q9" s="59">
        <f t="array" ref="Q9">IFERROR(INDEX(Results_Tank2!$B$3:$B$140, SMALL(IF(Results_Tank2!$B$3:$B$140&lt;&gt;"",ROW(Results_Tank2!$B$3:$B$140)-ROW(Results_Tank2!$B$3)+1),ROW(Q9))),"")</f>
        <v>11.226343056775011</v>
      </c>
      <c r="R9" s="77">
        <f t="shared" si="1"/>
        <v>0.70164644104843821</v>
      </c>
      <c r="S9" s="60">
        <f t="array" ref="S9">IFERROR(INDEX(Results_Tank2!$M$3:$M$140, SMALL(IF(Results_Tank2!$M$3:$M$140&lt;&gt;"",ROW(Results_Tank2!$M$3:$M$140)-ROW(Results_Tank2!$M$3)+1),ROW(S9))),"")</f>
        <v>6.1411671340216259E-2</v>
      </c>
    </row>
    <row r="10" spans="1:31" x14ac:dyDescent="0.35">
      <c r="A10" s="59">
        <f t="array" ref="A10">IFERROR(INDEX(Results_Tank1!$B$3:$B$68, SMALL(IF(Results_Tank1!$B$3:$B$68&lt;&gt;"",ROW(Results_Tank1!$B$3:$B$68)-ROW(Results_Tank1!$B$3)+1),ROW(A10))),"")</f>
        <v>2.4641163082181956</v>
      </c>
      <c r="B10" s="77">
        <f t="shared" si="0"/>
        <v>0.5242800655783395</v>
      </c>
      <c r="C10" s="64">
        <f t="array" ref="C10">IFERROR(INDEX(Results_Tank1!$M$3:$M$68, SMALL(IF(Results_Tank1!$M$3:$M$68&lt;&gt;"",ROW(Results_Tank1!$M$3:$M$68)-ROW(Results_Tank1!$M$3)+1),ROW(C10))),"")</f>
        <v>1.6868423172293454E-2</v>
      </c>
      <c r="Q10" s="59">
        <f t="array" ref="Q10">IFERROR(INDEX(Results_Tank2!$B$3:$B$140, SMALL(IF(Results_Tank2!$B$3:$B$140&lt;&gt;"",ROW(Results_Tank2!$B$3:$B$140)-ROW(Results_Tank2!$B$3)+1),ROW(Q10))),"")</f>
        <v>10.926343056775011</v>
      </c>
      <c r="R10" s="77">
        <f t="shared" si="1"/>
        <v>0.68289644104843816</v>
      </c>
      <c r="S10" s="60">
        <f t="array" ref="S10">IFERROR(INDEX(Results_Tank2!$M$3:$M$140, SMALL(IF(Results_Tank2!$M$3:$M$140&lt;&gt;"",ROW(Results_Tank2!$M$3:$M$140)-ROW(Results_Tank2!$M$3)+1),ROW(S10))),"")</f>
        <v>6.0094039329464465E-2</v>
      </c>
    </row>
    <row r="11" spans="1:31" x14ac:dyDescent="0.35">
      <c r="A11" s="59">
        <f t="array" ref="A11">IFERROR(INDEX(Results_Tank1!$B$3:$B$68, SMALL(IF(Results_Tank1!$B$3:$B$68&lt;&gt;"",ROW(Results_Tank1!$B$3:$B$68)-ROW(Results_Tank1!$B$3)+1),ROW(A11))),"")</f>
        <v>2.2641163082181954</v>
      </c>
      <c r="B11" s="77">
        <f t="shared" si="0"/>
        <v>0.48172687408897774</v>
      </c>
      <c r="C11" s="64">
        <f t="array" ref="C11">IFERROR(INDEX(Results_Tank1!$M$3:$M$68, SMALL(IF(Results_Tank1!$M$3:$M$68&lt;&gt;"",ROW(Results_Tank1!$M$3:$M$68)-ROW(Results_Tank1!$M$3)+1),ROW(C11))),"")</f>
        <v>1.6529319370106252E-2</v>
      </c>
      <c r="Q11" s="59">
        <f t="array" ref="Q11">IFERROR(INDEX(Results_Tank2!$B$3:$B$140, SMALL(IF(Results_Tank2!$B$3:$B$140&lt;&gt;"",ROW(Results_Tank2!$B$3:$B$140)-ROW(Results_Tank2!$B$3)+1),ROW(Q11))),"")</f>
        <v>10.62634305677501</v>
      </c>
      <c r="R11" s="77">
        <f t="shared" si="1"/>
        <v>0.66414644104843812</v>
      </c>
      <c r="S11" s="60">
        <f t="array" ref="S11">IFERROR(INDEX(Results_Tank2!$M$3:$M$140, SMALL(IF(Results_Tank2!$M$3:$M$140&lt;&gt;"",ROW(Results_Tank2!$M$3:$M$140)-ROW(Results_Tank2!$M$3)+1),ROW(S11))),"")</f>
        <v>5.8611731896945012E-2</v>
      </c>
    </row>
    <row r="12" spans="1:31" x14ac:dyDescent="0.35">
      <c r="A12" s="59">
        <f t="array" ref="A12">IFERROR(INDEX(Results_Tank1!$B$3:$B$68, SMALL(IF(Results_Tank1!$B$3:$B$68&lt;&gt;"",ROW(Results_Tank1!$B$3:$B$68)-ROW(Results_Tank1!$B$3)+1),ROW(A12))),"")</f>
        <v>2.0641163082181953</v>
      </c>
      <c r="B12" s="77">
        <f t="shared" si="0"/>
        <v>0.43917368259961598</v>
      </c>
      <c r="C12" s="64">
        <f t="array" ref="C12">IFERROR(INDEX(Results_Tank1!$M$3:$M$68, SMALL(IF(Results_Tank1!$M$3:$M$68&lt;&gt;"",ROW(Results_Tank1!$M$3:$M$68)-ROW(Results_Tank1!$M$3)+1),ROW(C12))),"")</f>
        <v>1.6150438832381247E-2</v>
      </c>
      <c r="Q12" s="59">
        <f t="array" ref="Q12">IFERROR(INDEX(Results_Tank2!$B$3:$B$140, SMALL(IF(Results_Tank2!$B$3:$B$140&lt;&gt;"",ROW(Results_Tank2!$B$3:$B$140)-ROW(Results_Tank2!$B$3)+1),ROW(Q12))),"")</f>
        <v>10.326343056775009</v>
      </c>
      <c r="R12" s="77">
        <f t="shared" si="1"/>
        <v>0.64539644104843807</v>
      </c>
      <c r="S12" s="60">
        <f t="array" ref="S12">IFERROR(INDEX(Results_Tank2!$M$3:$M$140, SMALL(IF(Results_Tank2!$M$3:$M$140&lt;&gt;"",ROW(Results_Tank2!$M$3:$M$140)-ROW(Results_Tank2!$M$3)+1),ROW(S12))),"")</f>
        <v>5.7102396955996046E-2</v>
      </c>
    </row>
    <row r="13" spans="1:31" ht="15" thickBot="1" x14ac:dyDescent="0.4">
      <c r="A13" s="59">
        <f t="array" ref="A13">IFERROR(INDEX(Results_Tank1!$B$3:$B$68, SMALL(IF(Results_Tank1!$B$3:$B$68&lt;&gt;"",ROW(Results_Tank1!$B$3:$B$68)-ROW(Results_Tank1!$B$3)+1),ROW(A13))),"")</f>
        <v>1.8641163082181953</v>
      </c>
      <c r="B13" s="77">
        <f t="shared" si="0"/>
        <v>0.39662049111025433</v>
      </c>
      <c r="C13" s="64">
        <f t="array" ref="C13">IFERROR(INDEX(Results_Tank1!$M$3:$M$68, SMALL(IF(Results_Tank1!$M$3:$M$68&lt;&gt;"",ROW(Results_Tank1!$M$3:$M$68)-ROW(Results_Tank1!$M$3)+1),ROW(C13))),"")</f>
        <v>1.5718522949400002E-2</v>
      </c>
      <c r="Q13" s="61">
        <f t="array" ref="Q13">IFERROR(INDEX(Results_Tank2!$B$3:$B$140, SMALL(IF(Results_Tank2!$B$3:$B$140&lt;&gt;"",ROW(Results_Tank2!$B$3:$B$140)-ROW(Results_Tank2!$B$3)+1),ROW(Q13))),"")</f>
        <v>10.026343056775008</v>
      </c>
      <c r="R13" s="79">
        <f t="shared" si="1"/>
        <v>0.62664644104843803</v>
      </c>
      <c r="S13" s="62">
        <f t="array" ref="S13">IFERROR(INDEX(Results_Tank2!$M$3:$M$140, SMALL(IF(Results_Tank2!$M$3:$M$140&lt;&gt;"",ROW(Results_Tank2!$M$3:$M$140)-ROW(Results_Tank2!$M$3)+1),ROW(S13))),"")</f>
        <v>5.534797888908001E-2</v>
      </c>
    </row>
    <row r="14" spans="1:31" x14ac:dyDescent="0.35">
      <c r="A14" s="59">
        <f t="array" ref="A14">IFERROR(INDEX(Results_Tank1!$B$3:$B$68, SMALL(IF(Results_Tank1!$B$3:$B$68&lt;&gt;"",ROW(Results_Tank1!$B$3:$B$68)-ROW(Results_Tank1!$B$3)+1),ROW(A14))),"")</f>
        <v>1.6641163082181953</v>
      </c>
      <c r="B14" s="77">
        <f t="shared" si="0"/>
        <v>0.35406729962089262</v>
      </c>
      <c r="C14" s="64">
        <f t="array" ref="C14">IFERROR(INDEX(Results_Tank1!$M$3:$M$68, SMALL(IF(Results_Tank1!$M$3:$M$68&lt;&gt;"",ROW(Results_Tank1!$M$3:$M$68)-ROW(Results_Tank1!$M$3)+1),ROW(C14))),"")</f>
        <v>1.5228878117813201E-2</v>
      </c>
      <c r="Q14" s="57">
        <f t="array" ref="Q14">IFERROR(INDEX(Results_Tank2!$B$3:$B$140, SMALL(IF(Results_Tank2!$B$3:$B$140&lt;&gt;"",ROW(Results_Tank2!$B$3:$B$140)-ROW(Results_Tank2!$B$3)+1),ROW(Q14))),"")</f>
        <v>9.7263430567750078</v>
      </c>
      <c r="R14" s="78">
        <f t="shared" si="1"/>
        <v>0.60789644104843799</v>
      </c>
      <c r="S14" s="63">
        <f t="array" ref="S14">IFERROR(INDEX(Results_Tank2!$M$3:$M$140, SMALL(IF(Results_Tank2!$M$3:$M$140&lt;&gt;"",ROW(Results_Tank2!$M$3:$M$140)-ROW(Results_Tank2!$M$3)+1),ROW(S14))),"")</f>
        <v>4.4804503538248046E-2</v>
      </c>
    </row>
    <row r="15" spans="1:31" ht="15" thickBot="1" x14ac:dyDescent="0.4">
      <c r="A15" s="61">
        <f t="array" ref="A15">IFERROR(INDEX(Results_Tank1!$B$3:$B$68, SMALL(IF(Results_Tank1!$B$3:$B$68&lt;&gt;"",ROW(Results_Tank1!$B$3:$B$68)-ROW(Results_Tank1!$B$3)+1),ROW(A15))),"")</f>
        <v>1.4641163082181954</v>
      </c>
      <c r="B15" s="79">
        <f t="shared" si="0"/>
        <v>0.31151410813153091</v>
      </c>
      <c r="C15" s="65">
        <f t="array" ref="C15">IFERROR(INDEX(Results_Tank1!$M$3:$M$68, SMALL(IF(Results_Tank1!$M$3:$M$68&lt;&gt;"",ROW(Results_Tank1!$M$3:$M$68)-ROW(Results_Tank1!$M$3)+1),ROW(C15))),"")</f>
        <v>1.3918568484338451E-2</v>
      </c>
      <c r="Q15" s="59">
        <f t="array" ref="Q15">IFERROR(INDEX(Results_Tank2!$B$3:$B$140, SMALL(IF(Results_Tank2!$B$3:$B$140&lt;&gt;"",ROW(Results_Tank2!$B$3:$B$140)-ROW(Results_Tank2!$B$3)+1),ROW(Q15))),"")</f>
        <v>9.4263430567750071</v>
      </c>
      <c r="R15" s="77">
        <f t="shared" si="1"/>
        <v>0.58914644104843794</v>
      </c>
      <c r="S15" s="64">
        <f t="array" ref="S15">IFERROR(INDEX(Results_Tank2!$M$3:$M$140, SMALL(IF(Results_Tank2!$M$3:$M$140&lt;&gt;"",ROW(Results_Tank2!$M$3:$M$140)-ROW(Results_Tank2!$M$3)+1),ROW(S15))),"")</f>
        <v>4.4409251352144047E-2</v>
      </c>
      <c r="AE15" t="s">
        <v>95</v>
      </c>
    </row>
    <row r="16" spans="1:31" x14ac:dyDescent="0.35">
      <c r="A16" s="57">
        <f t="array" ref="A16">IFERROR(INDEX(Results_Tank1!$B$3:$B$68, SMALL(IF(Results_Tank1!$B$3:$B$68&lt;&gt;"",ROW(Results_Tank1!$B$3:$B$68)-ROW(Results_Tank1!$B$3)+1),ROW(A16))),"")</f>
        <v>1.2641163082181954</v>
      </c>
      <c r="B16" s="78">
        <f t="shared" si="0"/>
        <v>0.26896091664216926</v>
      </c>
      <c r="C16" s="66">
        <f t="array" ref="C16">IFERROR(INDEX(Results_Tank1!$M$3:$M$68, SMALL(IF(Results_Tank1!$M$3:$M$68&lt;&gt;"",ROW(Results_Tank1!$M$3:$M$68)-ROW(Results_Tank1!$M$3)+1),ROW(C16))),"")</f>
        <v>8.4924174521000019E-3</v>
      </c>
      <c r="Q16" s="59">
        <f t="array" ref="Q16">IFERROR(INDEX(Results_Tank2!$B$3:$B$140, SMALL(IF(Results_Tank2!$B$3:$B$140&lt;&gt;"",ROW(Results_Tank2!$B$3:$B$140)-ROW(Results_Tank2!$B$3)+1),ROW(Q16))),"")</f>
        <v>9.1263430567750063</v>
      </c>
      <c r="R16" s="77">
        <f t="shared" si="1"/>
        <v>0.5703964410484379</v>
      </c>
      <c r="S16" s="64">
        <f t="array" ref="S16">IFERROR(INDEX(Results_Tank2!$M$3:$M$140, SMALL(IF(Results_Tank2!$M$3:$M$140&lt;&gt;"",ROW(Results_Tank2!$M$3:$M$140)-ROW(Results_Tank2!$M$3)+1),ROW(S16))),"")</f>
        <v>4.4004454433992202E-2</v>
      </c>
    </row>
    <row r="17" spans="1:19" x14ac:dyDescent="0.35">
      <c r="A17" s="59">
        <f t="array" ref="A17">IFERROR(INDEX(Results_Tank1!$B$3:$B$68, SMALL(IF(Results_Tank1!$B$3:$B$68&lt;&gt;"",ROW(Results_Tank1!$B$3:$B$68)-ROW(Results_Tank1!$B$3)+1),ROW(A17))),"")</f>
        <v>1.0641163082181955</v>
      </c>
      <c r="B17" s="77">
        <f t="shared" si="0"/>
        <v>0.22640772515280755</v>
      </c>
      <c r="C17" s="67">
        <f t="array" ref="C17">IFERROR(INDEX(Results_Tank1!$M$3:$M$68, SMALL(IF(Results_Tank1!$M$3:$M$68&lt;&gt;"",ROW(Results_Tank1!$M$3:$M$68)-ROW(Results_Tank1!$M$3)+1),ROW(C17))),"")</f>
        <v>7.3587880995999999E-3</v>
      </c>
      <c r="Q17" s="59">
        <f t="array" ref="Q17">IFERROR(INDEX(Results_Tank2!$B$3:$B$140, SMALL(IF(Results_Tank2!$B$3:$B$140&lt;&gt;"",ROW(Results_Tank2!$B$3:$B$140)-ROW(Results_Tank2!$B$3)+1),ROW(Q17))),"")</f>
        <v>8.8263430567750056</v>
      </c>
      <c r="R17" s="77">
        <f t="shared" si="1"/>
        <v>0.55164644104843785</v>
      </c>
      <c r="S17" s="64">
        <f t="array" ref="S17">IFERROR(INDEX(Results_Tank2!$M$3:$M$140, SMALL(IF(Results_Tank2!$M$3:$M$140&lt;&gt;"",ROW(Results_Tank2!$M$3:$M$140)-ROW(Results_Tank2!$M$3)+1),ROW(S17))),"")</f>
        <v>4.3593238097373817E-2</v>
      </c>
    </row>
    <row r="18" spans="1:19" x14ac:dyDescent="0.35">
      <c r="A18" s="59">
        <f t="array" ref="A18">IFERROR(INDEX(Results_Tank1!$B$3:$B$68, SMALL(IF(Results_Tank1!$B$3:$B$68&lt;&gt;"",ROW(Results_Tank1!$B$3:$B$68)-ROW(Results_Tank1!$B$3)+1),ROW(A18))),"")</f>
        <v>0.86411630821819552</v>
      </c>
      <c r="B18" s="77">
        <f t="shared" si="0"/>
        <v>0.18385453366344584</v>
      </c>
      <c r="C18" s="67">
        <f t="array" ref="C18">IFERROR(INDEX(Results_Tank1!$M$3:$M$68, SMALL(IF(Results_Tank1!$M$3:$M$68&lt;&gt;"",ROW(Results_Tank1!$M$3:$M$68)-ROW(Results_Tank1!$M$3)+1),ROW(C18))),"")</f>
        <v>6.8555098759070501E-3</v>
      </c>
      <c r="Q18" s="59">
        <f t="array" ref="Q18">IFERROR(INDEX(Results_Tank2!$B$3:$B$140, SMALL(IF(Results_Tank2!$B$3:$B$140&lt;&gt;"",ROW(Results_Tank2!$B$3:$B$140)-ROW(Results_Tank2!$B$3)+1),ROW(Q18))),"")</f>
        <v>8.5263430567750049</v>
      </c>
      <c r="R18" s="77">
        <f t="shared" si="1"/>
        <v>0.53289644104843781</v>
      </c>
      <c r="S18" s="64">
        <f t="array" ref="S18">IFERROR(INDEX(Results_Tank2!$M$3:$M$140, SMALL(IF(Results_Tank2!$M$3:$M$140&lt;&gt;"",ROW(Results_Tank2!$M$3:$M$140)-ROW(Results_Tank2!$M$3)+1),ROW(S18))),"")</f>
        <v>4.3162174163778801E-2</v>
      </c>
    </row>
    <row r="19" spans="1:19" ht="15" thickBot="1" x14ac:dyDescent="0.4">
      <c r="A19" s="61">
        <f t="array" ref="A19">IFERROR(INDEX(Results_Tank1!$B$3:$B$68, SMALL(IF(Results_Tank1!$B$3:$B$68&lt;&gt;"",ROW(Results_Tank1!$B$3:$B$68)-ROW(Results_Tank1!$B$3)+1),ROW(A19))),"")</f>
        <v>0.66411630821819556</v>
      </c>
      <c r="B19" s="79">
        <f t="shared" si="0"/>
        <v>0.14130134217408416</v>
      </c>
      <c r="C19" s="68">
        <f t="array" ref="C19">IFERROR(INDEX(Results_Tank1!$M$3:$M$68, SMALL(IF(Results_Tank1!$M$3:$M$68&lt;&gt;"",ROW(Results_Tank1!$M$3:$M$68)-ROW(Results_Tank1!$M$3)+1),ROW(C19))),"")</f>
        <v>6.3987880480858E-3</v>
      </c>
      <c r="Q19" s="59">
        <f t="array" ref="Q19">IFERROR(INDEX(Results_Tank2!$B$3:$B$140, SMALL(IF(Results_Tank2!$B$3:$B$140&lt;&gt;"",ROW(Results_Tank2!$B$3:$B$140)-ROW(Results_Tank2!$B$3)+1),ROW(Q19))),"")</f>
        <v>8.2263430567750042</v>
      </c>
      <c r="R19" s="77">
        <f t="shared" si="1"/>
        <v>0.51414644104843776</v>
      </c>
      <c r="S19" s="64">
        <f t="array" ref="S19">IFERROR(INDEX(Results_Tank2!$M$3:$M$140, SMALL(IF(Results_Tank2!$M$3:$M$140&lt;&gt;"",ROW(Results_Tank2!$M$3:$M$140)-ROW(Results_Tank2!$M$3)+1),ROW(S19))),"")</f>
        <v>4.2706910973843042E-2</v>
      </c>
    </row>
    <row r="20" spans="1:19" x14ac:dyDescent="0.35">
      <c r="A20" s="57">
        <f t="array" ref="A20">IFERROR(INDEX(Results_Tank1!$B$3:$B$68, SMALL(IF(Results_Tank1!$B$3:$B$68&lt;&gt;"",ROW(Results_Tank1!$B$3:$B$68)-ROW(Results_Tank1!$B$3)+1),ROW(A20))),"")</f>
        <v>0.46411630821819555</v>
      </c>
      <c r="B20" s="78">
        <f t="shared" si="0"/>
        <v>9.8748150684722452E-2</v>
      </c>
      <c r="C20" s="69">
        <f t="array" ref="C20">IFERROR(INDEX(Results_Tank1!$M$3:$M$68, SMALL(IF(Results_Tank1!$M$3:$M$68&lt;&gt;"",ROW(Results_Tank1!$M$3:$M$68)-ROW(Results_Tank1!$M$3)+1),ROW(C20))),"")</f>
        <v>3.5558527040617997E-3</v>
      </c>
      <c r="Q20" s="59">
        <f t="array" ref="Q20">IFERROR(INDEX(Results_Tank2!$B$3:$B$140, SMALL(IF(Results_Tank2!$B$3:$B$140&lt;&gt;"",ROW(Results_Tank2!$B$3:$B$140)-ROW(Results_Tank2!$B$3)+1),ROW(Q20))),"")</f>
        <v>7.9263430567750044</v>
      </c>
      <c r="R20" s="77">
        <f t="shared" si="1"/>
        <v>0.49539644104843777</v>
      </c>
      <c r="S20" s="64">
        <f t="array" ref="S20">IFERROR(INDEX(Results_Tank2!$M$3:$M$140, SMALL(IF(Results_Tank2!$M$3:$M$140&lt;&gt;"",ROW(Results_Tank2!$M$3:$M$140)-ROW(Results_Tank2!$M$3)+1),ROW(S20))),"")</f>
        <v>4.2270862719996201E-2</v>
      </c>
    </row>
    <row r="21" spans="1:19" x14ac:dyDescent="0.35">
      <c r="A21" s="59">
        <f t="array" ref="A21">IFERROR(INDEX(Results_Tank1!$B$3:$B$68, SMALL(IF(Results_Tank1!$B$3:$B$68&lt;&gt;"",ROW(Results_Tank1!$B$3:$B$68)-ROW(Results_Tank1!$B$3)+1),ROW(A21))),"")</f>
        <v>0.26411630821819554</v>
      </c>
      <c r="B21" s="77">
        <f t="shared" si="0"/>
        <v>5.6194959195360751E-2</v>
      </c>
      <c r="C21" s="70">
        <f t="array" ref="C21">IFERROR(INDEX(Results_Tank1!$M$3:$M$68, SMALL(IF(Results_Tank1!$M$3:$M$68&lt;&gt;"",ROW(Results_Tank1!$M$3:$M$68)-ROW(Results_Tank1!$M$3)+1),ROW(C21))),"")</f>
        <v>2.0816616882282004E-3</v>
      </c>
      <c r="Q21" s="59">
        <f t="array" ref="Q21">IFERROR(INDEX(Results_Tank2!$B$3:$B$140, SMALL(IF(Results_Tank2!$B$3:$B$140&lt;&gt;"",ROW(Results_Tank2!$B$3:$B$140)-ROW(Results_Tank2!$B$3)+1),ROW(Q21))),"")</f>
        <v>7.6263430567750046</v>
      </c>
      <c r="R21" s="77">
        <f t="shared" si="1"/>
        <v>0.47664644104843779</v>
      </c>
      <c r="S21" s="64">
        <f t="array" ref="S21">IFERROR(INDEX(Results_Tank2!$M$3:$M$140, SMALL(IF(Results_Tank2!$M$3:$M$140&lt;&gt;"",ROW(Results_Tank2!$M$3:$M$140)-ROW(Results_Tank2!$M$3)+1),ROW(S21))),"")</f>
        <v>4.1830627046004994E-2</v>
      </c>
    </row>
    <row r="22" spans="1:19" ht="15" thickBot="1" x14ac:dyDescent="0.4">
      <c r="A22" s="61">
        <f t="array" ref="A22">IFERROR(INDEX(Results_Tank1!$B$3:$B$68, SMALL(IF(Results_Tank1!$B$3:$B$68&lt;&gt;"",ROW(Results_Tank1!$B$3:$B$68)-ROW(Results_Tank1!$B$3)+1),ROW(A22))),"")</f>
        <v>6.4116308218195528E-2</v>
      </c>
      <c r="B22" s="79">
        <f t="shared" si="0"/>
        <v>1.3641767705999048E-2</v>
      </c>
      <c r="C22" s="71">
        <f t="array" ref="C22">IFERROR(INDEX(Results_Tank1!$M$3:$M$68, SMALL(IF(Results_Tank1!$M$3:$M$68&lt;&gt;"",ROW(Results_Tank1!$M$3:$M$68)-ROW(Results_Tank1!$M$3)+1),ROW(C22))),"")</f>
        <v>0</v>
      </c>
      <c r="Q22" s="59">
        <f t="array" ref="Q22">IFERROR(INDEX(Results_Tank2!$B$3:$B$140, SMALL(IF(Results_Tank2!$B$3:$B$140&lt;&gt;"",ROW(Results_Tank2!$B$3:$B$140)-ROW(Results_Tank2!$B$3)+1),ROW(Q22))),"")</f>
        <v>7.3263430567750047</v>
      </c>
      <c r="R22" s="77">
        <f t="shared" si="1"/>
        <v>0.4578964410484378</v>
      </c>
      <c r="S22" s="64">
        <f t="array" ref="S22">IFERROR(INDEX(Results_Tank2!$M$3:$M$140, SMALL(IF(Results_Tank2!$M$3:$M$140&lt;&gt;"",ROW(Results_Tank2!$M$3:$M$140)-ROW(Results_Tank2!$M$3)+1),ROW(S22))),"")</f>
        <v>4.1383334280108208E-2</v>
      </c>
    </row>
    <row r="23" spans="1:19" x14ac:dyDescent="0.35">
      <c r="A23" t="str">
        <f t="array" ref="A23">IFERROR(INDEX(Results_Tank1!$B$3:$B$68, SMALL(IF(Results_Tank1!$B$3:$B$68&lt;&gt;"",ROW(Results_Tank1!$B$3:$B$68)-ROW(Results_Tank1!$B$3)+1),ROW(A23))),"")</f>
        <v/>
      </c>
      <c r="Q23" s="59">
        <f t="array" ref="Q23">IFERROR(INDEX(Results_Tank2!$B$3:$B$140, SMALL(IF(Results_Tank2!$B$3:$B$140&lt;&gt;"",ROW(Results_Tank2!$B$3:$B$140)-ROW(Results_Tank2!$B$3)+1),ROW(Q23))),"")</f>
        <v>7.0263430567750049</v>
      </c>
      <c r="R23" s="77">
        <f t="shared" si="1"/>
        <v>0.43914644104843781</v>
      </c>
      <c r="S23" s="64">
        <f t="array" ref="S23">IFERROR(INDEX(Results_Tank2!$M$3:$M$140, SMALL(IF(Results_Tank2!$M$3:$M$140&lt;&gt;"",ROW(Results_Tank2!$M$3:$M$140)-ROW(Results_Tank2!$M$3)+1),ROW(S23))),"")</f>
        <v>4.0654397138199211E-2</v>
      </c>
    </row>
    <row r="24" spans="1:19" x14ac:dyDescent="0.35">
      <c r="A24" s="56" t="s">
        <v>91</v>
      </c>
      <c r="B24" s="56"/>
      <c r="C24" s="56">
        <v>4.7</v>
      </c>
      <c r="D24" s="56" t="s">
        <v>38</v>
      </c>
      <c r="Q24" s="59">
        <f t="array" ref="Q24">IFERROR(INDEX(Results_Tank2!$B$3:$B$140, SMALL(IF(Results_Tank2!$B$3:$B$140&lt;&gt;"",ROW(Results_Tank2!$B$3:$B$140)-ROW(Results_Tank2!$B$3)+1),ROW(Q24))),"")</f>
        <v>6.7263430567750051</v>
      </c>
      <c r="R24" s="77">
        <f t="shared" si="1"/>
        <v>0.42039644104843782</v>
      </c>
      <c r="S24" s="64">
        <f t="array" ref="S24">IFERROR(INDEX(Results_Tank2!$M$3:$M$140, SMALL(IF(Results_Tank2!$M$3:$M$140&lt;&gt;"",ROW(Results_Tank2!$M$3:$M$140)-ROW(Results_Tank2!$M$3)+1),ROW(S24))),"")</f>
        <v>3.8640900999798056E-2</v>
      </c>
    </row>
    <row r="25" spans="1:19" ht="15" thickBot="1" x14ac:dyDescent="0.4">
      <c r="A25" s="56" t="s">
        <v>92</v>
      </c>
      <c r="B25" s="56"/>
      <c r="C25" s="56">
        <f>C24*0.9</f>
        <v>4.2300000000000004</v>
      </c>
      <c r="D25" s="56" t="s">
        <v>38</v>
      </c>
      <c r="Q25" s="61">
        <f t="array" ref="Q25">IFERROR(INDEX(Results_Tank2!$B$3:$B$140, SMALL(IF(Results_Tank2!$B$3:$B$140&lt;&gt;"",ROW(Results_Tank2!$B$3:$B$140)-ROW(Results_Tank2!$B$3)+1),ROW(Q25))),"")</f>
        <v>6.4263430567750053</v>
      </c>
      <c r="R25" s="79">
        <f t="shared" si="1"/>
        <v>0.40164644104843783</v>
      </c>
      <c r="S25" s="65">
        <f t="array" ref="S25">IFERROR(INDEX(Results_Tank2!$M$3:$M$140, SMALL(IF(Results_Tank2!$M$3:$M$140&lt;&gt;"",ROW(Results_Tank2!$M$3:$M$140)-ROW(Results_Tank2!$M$3)+1),ROW(S25))),"")</f>
        <v>3.6013346879469804E-2</v>
      </c>
    </row>
    <row r="26" spans="1:19" x14ac:dyDescent="0.35">
      <c r="A26" s="56" t="s">
        <v>93</v>
      </c>
      <c r="B26" s="56"/>
      <c r="C26" s="56">
        <f>C24*0.1</f>
        <v>0.47000000000000003</v>
      </c>
      <c r="D26" s="56" t="s">
        <v>38</v>
      </c>
      <c r="Q26" s="57">
        <f t="array" ref="Q26">IFERROR(INDEX(Results_Tank2!$B$3:$B$140, SMALL(IF(Results_Tank2!$B$3:$B$140&lt;&gt;"",ROW(Results_Tank2!$B$3:$B$140)-ROW(Results_Tank2!$B$3)+1),ROW(Q26))),"")</f>
        <v>6.1263430567750055</v>
      </c>
      <c r="R26" s="78">
        <f t="shared" si="1"/>
        <v>0.38289644104843784</v>
      </c>
      <c r="S26" s="66">
        <f t="array" ref="S26">IFERROR(INDEX(Results_Tank2!$M$3:$M$140, SMALL(IF(Results_Tank2!$M$3:$M$140&lt;&gt;"",ROW(Results_Tank2!$M$3:$M$140)-ROW(Results_Tank2!$M$3)+1),ROW(S26))),"")</f>
        <v>2.7923916569745053E-2</v>
      </c>
    </row>
    <row r="27" spans="1:19" x14ac:dyDescent="0.35">
      <c r="A27" t="str">
        <f t="array" ref="A27">IFERROR(INDEX(Results_Tank1!$B$3:$B$68, SMALL(IF(Results_Tank1!$B$3:$B$68&lt;&gt;"",ROW(Results_Tank1!$B$3:$B$68)-ROW(Results_Tank1!$B$3)+1),ROW(A27))),"")</f>
        <v/>
      </c>
      <c r="Q27" s="59">
        <f t="array" ref="Q27">IFERROR(INDEX(Results_Tank2!$B$3:$B$140, SMALL(IF(Results_Tank2!$B$3:$B$140&lt;&gt;"",ROW(Results_Tank2!$B$3:$B$140)-ROW(Results_Tank2!$B$3)+1),ROW(Q27))),"")</f>
        <v>5.8263430567750056</v>
      </c>
      <c r="R27" s="77">
        <f t="shared" si="1"/>
        <v>0.36414644104843785</v>
      </c>
      <c r="S27" s="67">
        <f t="array" ref="S27">IFERROR(INDEX(Results_Tank2!$M$3:$M$140, SMALL(IF(Results_Tank2!$M$3:$M$140&lt;&gt;"",ROW(Results_Tank2!$M$3:$M$140)-ROW(Results_Tank2!$M$3)+1),ROW(S27))),"")</f>
        <v>2.7529563275334446E-2</v>
      </c>
    </row>
    <row r="28" spans="1:19" x14ac:dyDescent="0.35">
      <c r="A28" t="str">
        <f t="array" ref="A28">IFERROR(INDEX(Results_Tank1!$B$3:$B$68, SMALL(IF(Results_Tank1!$B$3:$B$68&lt;&gt;"",ROW(Results_Tank1!$B$3:$B$68)-ROW(Results_Tank1!$B$3)+1),ROW(A28))),"")</f>
        <v/>
      </c>
      <c r="Q28" s="59">
        <f t="array" ref="Q28">IFERROR(INDEX(Results_Tank2!$B$3:$B$140, SMALL(IF(Results_Tank2!$B$3:$B$140&lt;&gt;"",ROW(Results_Tank2!$B$3:$B$140)-ROW(Results_Tank2!$B$3)+1),ROW(Q28))),"")</f>
        <v>5.5263430567750058</v>
      </c>
      <c r="R28" s="77">
        <f t="shared" si="1"/>
        <v>0.34539644104843786</v>
      </c>
      <c r="S28" s="67">
        <f t="array" ref="S28">IFERROR(INDEX(Results_Tank2!$M$3:$M$140, SMALL(IF(Results_Tank2!$M$3:$M$140&lt;&gt;"",ROW(Results_Tank2!$M$3:$M$140)-ROW(Results_Tank2!$M$3)+1),ROW(S28))),"")</f>
        <v>2.7117558524563195E-2</v>
      </c>
    </row>
    <row r="29" spans="1:19" x14ac:dyDescent="0.35">
      <c r="A29" t="str">
        <f t="array" ref="A29">IFERROR(INDEX(Results_Tank1!$B$3:$B$68, SMALL(IF(Results_Tank1!$B$3:$B$68&lt;&gt;"",ROW(Results_Tank1!$B$3:$B$68)-ROW(Results_Tank1!$B$3)+1),ROW(A29))),"")</f>
        <v/>
      </c>
      <c r="Q29" s="59">
        <f t="array" ref="Q29">IFERROR(INDEX(Results_Tank2!$B$3:$B$140, SMALL(IF(Results_Tank2!$B$3:$B$140&lt;&gt;"",ROW(Results_Tank2!$B$3:$B$140)-ROW(Results_Tank2!$B$3)+1),ROW(Q29))),"")</f>
        <v>5.226343056775006</v>
      </c>
      <c r="R29" s="77">
        <f t="shared" si="1"/>
        <v>0.32664644104843787</v>
      </c>
      <c r="S29" s="67">
        <f t="array" ref="S29">IFERROR(INDEX(Results_Tank2!$M$3:$M$140, SMALL(IF(Results_Tank2!$M$3:$M$140&lt;&gt;"",ROW(Results_Tank2!$M$3:$M$140)-ROW(Results_Tank2!$M$3)+1),ROW(S29))),"")</f>
        <v>2.6691205473764204E-2</v>
      </c>
    </row>
    <row r="30" spans="1:19" x14ac:dyDescent="0.35">
      <c r="A30" t="str">
        <f t="array" ref="A30">IFERROR(INDEX(Results_Tank1!$B$3:$B$68, SMALL(IF(Results_Tank1!$B$3:$B$68&lt;&gt;"",ROW(Results_Tank1!$B$3:$B$68)-ROW(Results_Tank1!$B$3)+1),ROW(A30))),"")</f>
        <v/>
      </c>
      <c r="Q30" s="59">
        <f t="array" ref="Q30">IFERROR(INDEX(Results_Tank2!$B$3:$B$140, SMALL(IF(Results_Tank2!$B$3:$B$140&lt;&gt;"",ROW(Results_Tank2!$B$3:$B$140)-ROW(Results_Tank2!$B$3)+1),ROW(Q30))),"")</f>
        <v>4.9263430567750062</v>
      </c>
      <c r="R30" s="77">
        <f t="shared" si="1"/>
        <v>0.30789644104843789</v>
      </c>
      <c r="S30" s="67">
        <f t="array" ref="S30">IFERROR(INDEX(Results_Tank2!$M$3:$M$140, SMALL(IF(Results_Tank2!$M$3:$M$140&lt;&gt;"",ROW(Results_Tank2!$M$3:$M$140)-ROW(Results_Tank2!$M$3)+1),ROW(S30))),"")</f>
        <v>2.6241698396305205E-2</v>
      </c>
    </row>
    <row r="31" spans="1:19" x14ac:dyDescent="0.35">
      <c r="A31" t="str">
        <f t="array" ref="A31">IFERROR(INDEX(Results_Tank1!$B$3:$B$68, SMALL(IF(Results_Tank1!$B$3:$B$68&lt;&gt;"",ROW(Results_Tank1!$B$3:$B$68)-ROW(Results_Tank1!$B$3)+1),ROW(A31))),"")</f>
        <v/>
      </c>
      <c r="Q31" s="59">
        <f t="array" ref="Q31">IFERROR(INDEX(Results_Tank2!$B$3:$B$140, SMALL(IF(Results_Tank2!$B$3:$B$140&lt;&gt;"",ROW(Results_Tank2!$B$3:$B$140)-ROW(Results_Tank2!$B$3)+1),ROW(Q31))),"")</f>
        <v>4.6263430567750063</v>
      </c>
      <c r="R31" s="77">
        <f t="shared" si="1"/>
        <v>0.2891464410484379</v>
      </c>
      <c r="S31" s="67">
        <f t="array" ref="S31">IFERROR(INDEX(Results_Tank2!$M$3:$M$140, SMALL(IF(Results_Tank2!$M$3:$M$140&lt;&gt;"",ROW(Results_Tank2!$M$3:$M$140)-ROW(Results_Tank2!$M$3)+1),ROW(S31))),"")</f>
        <v>2.5807259097699452E-2</v>
      </c>
    </row>
    <row r="32" spans="1:19" x14ac:dyDescent="0.35">
      <c r="A32" t="str">
        <f t="array" ref="A32">IFERROR(INDEX(Results_Tank1!$B$3:$B$68, SMALL(IF(Results_Tank1!$B$3:$B$68&lt;&gt;"",ROW(Results_Tank1!$B$3:$B$68)-ROW(Results_Tank1!$B$3)+1),ROW(A32))),"")</f>
        <v/>
      </c>
      <c r="Q32" s="59">
        <f t="array" ref="Q32">IFERROR(INDEX(Results_Tank2!$B$3:$B$140, SMALL(IF(Results_Tank2!$B$3:$B$140&lt;&gt;"",ROW(Results_Tank2!$B$3:$B$140)-ROW(Results_Tank2!$B$3)+1),ROW(Q32))),"")</f>
        <v>4.3263430567750065</v>
      </c>
      <c r="R32" s="77">
        <f t="shared" si="1"/>
        <v>0.27039644104843791</v>
      </c>
      <c r="S32" s="67">
        <f t="array" ref="S32">IFERROR(INDEX(Results_Tank2!$M$3:$M$140, SMALL(IF(Results_Tank2!$M$3:$M$140&lt;&gt;"",ROW(Results_Tank2!$M$3:$M$140)-ROW(Results_Tank2!$M$3)+1),ROW(S32))),"")</f>
        <v>2.5371123854646453E-2</v>
      </c>
    </row>
    <row r="33" spans="1:20" ht="15" thickBot="1" x14ac:dyDescent="0.4">
      <c r="A33" t="str">
        <f t="array" ref="A33">IFERROR(INDEX(Results_Tank1!$B$3:$B$68, SMALL(IF(Results_Tank1!$B$3:$B$68&lt;&gt;"",ROW(Results_Tank1!$B$3:$B$68)-ROW(Results_Tank1!$B$3)+1),ROW(A33))),"")</f>
        <v/>
      </c>
      <c r="Q33" s="61">
        <f t="array" ref="Q33">IFERROR(INDEX(Results_Tank2!$B$3:$B$140, SMALL(IF(Results_Tank2!$B$3:$B$140&lt;&gt;"",ROW(Results_Tank2!$B$3:$B$140)-ROW(Results_Tank2!$B$3)+1),ROW(Q33))),"")</f>
        <v>4.0263430567750067</v>
      </c>
      <c r="R33" s="79">
        <f t="shared" si="1"/>
        <v>0.25164644104843792</v>
      </c>
      <c r="S33" s="68">
        <f t="array" ref="S33">IFERROR(INDEX(Results_Tank2!$M$3:$M$140, SMALL(IF(Results_Tank2!$M$3:$M$140&lt;&gt;"",ROW(Results_Tank2!$M$3:$M$140)-ROW(Results_Tank2!$M$3)+1),ROW(S33))),"")</f>
        <v>2.4261130128114053E-2</v>
      </c>
    </row>
    <row r="34" spans="1:20" x14ac:dyDescent="0.35">
      <c r="A34" t="str">
        <f t="array" ref="A34">IFERROR(INDEX(Results_Tank1!$B$3:$B$68, SMALL(IF(Results_Tank1!$B$3:$B$68&lt;&gt;"",ROW(Results_Tank1!$B$3:$B$68)-ROW(Results_Tank1!$B$3)+1),ROW(A34))),"")</f>
        <v/>
      </c>
      <c r="Q34" s="57">
        <f t="array" ref="Q34">IFERROR(INDEX(Results_Tank2!$B$3:$B$140, SMALL(IF(Results_Tank2!$B$3:$B$140&lt;&gt;"",ROW(Results_Tank2!$B$3:$B$140)-ROW(Results_Tank2!$B$3)+1),ROW(Q34))),"")</f>
        <v>3.7263430567750069</v>
      </c>
      <c r="R34" s="78">
        <f t="shared" si="1"/>
        <v>0.23289644104843793</v>
      </c>
      <c r="S34" s="74">
        <f t="array" ref="S34">IFERROR(INDEX(Results_Tank2!$M$3:$M$140, SMALL(IF(Results_Tank2!$M$3:$M$140&lt;&gt;"",ROW(Results_Tank2!$M$3:$M$140)-ROW(Results_Tank2!$M$3)+1),ROW(S34))),"")</f>
        <v>1.564436204058E-2</v>
      </c>
    </row>
    <row r="35" spans="1:20" x14ac:dyDescent="0.35">
      <c r="A35" t="str">
        <f t="array" ref="A35">IFERROR(INDEX(Results_Tank1!$B$3:$B$68, SMALL(IF(Results_Tank1!$B$3:$B$68&lt;&gt;"",ROW(Results_Tank1!$B$3:$B$68)-ROW(Results_Tank1!$B$3)+1),ROW(A35))),"")</f>
        <v/>
      </c>
      <c r="Q35" s="59">
        <f t="array" ref="Q35">IFERROR(INDEX(Results_Tank2!$B$3:$B$140, SMALL(IF(Results_Tank2!$B$3:$B$140&lt;&gt;"",ROW(Results_Tank2!$B$3:$B$140)-ROW(Results_Tank2!$B$3)+1),ROW(Q35))),"")</f>
        <v>3.4263430567750071</v>
      </c>
      <c r="R35" s="77">
        <f t="shared" si="1"/>
        <v>0.21414644104843794</v>
      </c>
      <c r="S35" s="75">
        <f t="array" ref="S35">IFERROR(INDEX(Results_Tank2!$M$3:$M$140, SMALL(IF(Results_Tank2!$M$3:$M$140&lt;&gt;"",ROW(Results_Tank2!$M$3:$M$140)-ROW(Results_Tank2!$M$3)+1),ROW(S35))),"")</f>
        <v>1.5281589779534801E-2</v>
      </c>
    </row>
    <row r="36" spans="1:20" x14ac:dyDescent="0.35">
      <c r="A36" t="str">
        <f t="array" ref="A36">IFERROR(INDEX(Results_Tank1!$B$3:$B$68, SMALL(IF(Results_Tank1!$B$3:$B$68&lt;&gt;"",ROW(Results_Tank1!$B$3:$B$68)-ROW(Results_Tank1!$B$3)+1),ROW(A36))),"")</f>
        <v/>
      </c>
      <c r="Q36" s="59">
        <f t="array" ref="Q36">IFERROR(INDEX(Results_Tank2!$B$3:$B$140, SMALL(IF(Results_Tank2!$B$3:$B$140&lt;&gt;"",ROW(Results_Tank2!$B$3:$B$140)-ROW(Results_Tank2!$B$3)+1),ROW(Q36))),"")</f>
        <v>3.1263430567750072</v>
      </c>
      <c r="R36" s="77">
        <f t="shared" si="1"/>
        <v>0.19539644104843795</v>
      </c>
      <c r="S36" s="75">
        <f t="array" ref="S36">IFERROR(INDEX(Results_Tank2!$M$3:$M$140, SMALL(IF(Results_Tank2!$M$3:$M$140&lt;&gt;"",ROW(Results_Tank2!$M$3:$M$140)-ROW(Results_Tank2!$M$3)+1),ROW(S36))),"")</f>
        <v>1.4897389050885E-2</v>
      </c>
    </row>
    <row r="37" spans="1:20" x14ac:dyDescent="0.35">
      <c r="A37" t="str">
        <f t="array" ref="A37">IFERROR(INDEX(Results_Tank1!$B$3:$B$68, SMALL(IF(Results_Tank1!$B$3:$B$68&lt;&gt;"",ROW(Results_Tank1!$B$3:$B$68)-ROW(Results_Tank1!$B$3)+1),ROW(A37))),"")</f>
        <v/>
      </c>
      <c r="Q37" s="59">
        <f t="array" ref="Q37">IFERROR(INDEX(Results_Tank2!$B$3:$B$140, SMALL(IF(Results_Tank2!$B$3:$B$140&lt;&gt;"",ROW(Results_Tank2!$B$3:$B$140)-ROW(Results_Tank2!$B$3)+1),ROW(Q37))),"")</f>
        <v>2.8263430567750074</v>
      </c>
      <c r="R37" s="77">
        <f t="shared" si="1"/>
        <v>0.17664644104843796</v>
      </c>
      <c r="S37" s="75">
        <f t="array" ref="S37">IFERROR(INDEX(Results_Tank2!$M$3:$M$140, SMALL(IF(Results_Tank2!$M$3:$M$140&lt;&gt;"",ROW(Results_Tank2!$M$3:$M$140)-ROW(Results_Tank2!$M$3)+1),ROW(S37))),"")</f>
        <v>1.4493487545741052E-2</v>
      </c>
    </row>
    <row r="38" spans="1:20" x14ac:dyDescent="0.35">
      <c r="A38" t="str">
        <f>IFERROR(INDEX(Results_Tank1!$B$3:$B$68,SMALL(IF(Results_Tank1!$B$3:$B$68&lt;&gt;"", ROW(Results_Tank1!$B$3:$B$68)-ROW(Results_Tank1!$B$3:$B$68)+1),ROW(A37))),"")</f>
        <v/>
      </c>
      <c r="Q38" s="59">
        <f t="array" ref="Q38">IFERROR(INDEX(Results_Tank2!$B$3:$B$140, SMALL(IF(Results_Tank2!$B$3:$B$140&lt;&gt;"",ROW(Results_Tank2!$B$3:$B$140)-ROW(Results_Tank2!$B$3)+1),ROW(Q38))),"")</f>
        <v>2.5263430567750076</v>
      </c>
      <c r="R38" s="77">
        <f t="shared" si="1"/>
        <v>0.15789644104843797</v>
      </c>
      <c r="S38" s="75">
        <f t="array" ref="S38">IFERROR(INDEX(Results_Tank2!$M$3:$M$140, SMALL(IF(Results_Tank2!$M$3:$M$140&lt;&gt;"",ROW(Results_Tank2!$M$3:$M$140)-ROW(Results_Tank2!$M$3)+1),ROW(S38))),"")</f>
        <v>1.408526947694105E-2</v>
      </c>
    </row>
    <row r="39" spans="1:20" ht="15" thickBot="1" x14ac:dyDescent="0.4">
      <c r="A39" t="str">
        <f>IFERROR(INDEX(Results_Tank1!$B$3:$B$68,SMALL(IF(Results_Tank1!$B$3:$B$68&lt;&gt;"", ROW(Results_Tank1!$B$3:$B$68)-ROW(Results_Tank1!$B$3:$B$68)+1),ROW(A38))),"")</f>
        <v/>
      </c>
      <c r="Q39" s="61">
        <f t="array" ref="Q39">IFERROR(INDEX(Results_Tank2!$B$3:$B$140, SMALL(IF(Results_Tank2!$B$3:$B$140&lt;&gt;"",ROW(Results_Tank2!$B$3:$B$140)-ROW(Results_Tank2!$B$3)+1),ROW(Q39))),"")</f>
        <v>2.2263430567750078</v>
      </c>
      <c r="R39" s="79">
        <f t="shared" si="1"/>
        <v>0.13914644104843799</v>
      </c>
      <c r="S39" s="76">
        <f t="array" ref="S39">IFERROR(INDEX(Results_Tank2!$M$3:$M$140, SMALL(IF(Results_Tank2!$M$3:$M$140&lt;&gt;"",ROW(Results_Tank2!$M$3:$M$140)-ROW(Results_Tank2!$M$3)+1),ROW(S39))),"")</f>
        <v>1.366063884151005E-2</v>
      </c>
    </row>
    <row r="40" spans="1:20" x14ac:dyDescent="0.35">
      <c r="Q40" s="57">
        <f t="array" ref="Q40">IFERROR(INDEX(Results_Tank2!$B$3:$B$140, SMALL(IF(Results_Tank2!$B$3:$B$140&lt;&gt;"",ROW(Results_Tank2!$B$3:$B$140)-ROW(Results_Tank2!$B$3)+1),ROW(Q40))),"")</f>
        <v>1.9263430567750077</v>
      </c>
      <c r="R40" s="78">
        <f t="shared" si="1"/>
        <v>0.12039644104843798</v>
      </c>
      <c r="S40" s="69">
        <f t="array" ref="S40">IFERROR(INDEX(Results_Tank2!$M$3:$M$140, SMALL(IF(Results_Tank2!$M$3:$M$140&lt;&gt;"",ROW(Results_Tank2!$M$3:$M$140)-ROW(Results_Tank2!$M$3)+1),ROW(S40))),"")</f>
        <v>7.9551379888412512E-3</v>
      </c>
    </row>
    <row r="41" spans="1:20" x14ac:dyDescent="0.35">
      <c r="Q41" s="59">
        <f t="array" ref="Q41">IFERROR(INDEX(Results_Tank2!$B$3:$B$140, SMALL(IF(Results_Tank2!$B$3:$B$140&lt;&gt;"",ROW(Results_Tank2!$B$3:$B$140)-ROW(Results_Tank2!$B$3)+1),ROW(Q41))),"")</f>
        <v>1.6263430567750077</v>
      </c>
      <c r="R41" s="77">
        <f t="shared" si="1"/>
        <v>0.10164644104843798</v>
      </c>
      <c r="S41" s="70">
        <f t="array" ref="S41">IFERROR(INDEX(Results_Tank2!$M$3:$M$140, SMALL(IF(Results_Tank2!$M$3:$M$140&lt;&gt;"",ROW(Results_Tank2!$M$3:$M$140)-ROW(Results_Tank2!$M$3)+1),ROW(S41))),"")</f>
        <v>6.8386042385862504E-3</v>
      </c>
    </row>
    <row r="42" spans="1:20" x14ac:dyDescent="0.35">
      <c r="Q42" s="59">
        <f t="array" ref="Q42">IFERROR(INDEX(Results_Tank2!$B$3:$B$140, SMALL(IF(Results_Tank2!$B$3:$B$140&lt;&gt;"",ROW(Results_Tank2!$B$3:$B$140)-ROW(Results_Tank2!$B$3)+1),ROW(Q42))),"")</f>
        <v>1.3263430567750076</v>
      </c>
      <c r="R42" s="77">
        <f t="shared" si="1"/>
        <v>8.2896441048437977E-2</v>
      </c>
      <c r="S42" s="70">
        <f t="array" ref="S42">IFERROR(INDEX(Results_Tank2!$M$3:$M$140, SMALL(IF(Results_Tank2!$M$3:$M$140&lt;&gt;"",ROW(Results_Tank2!$M$3:$M$140)-ROW(Results_Tank2!$M$3)+1),ROW(S42))),"")</f>
        <v>6.3739366591692012E-3</v>
      </c>
    </row>
    <row r="43" spans="1:20" x14ac:dyDescent="0.35">
      <c r="Q43" s="59">
        <f t="array" ref="Q43">IFERROR(INDEX(Results_Tank2!$B$3:$B$140, SMALL(IF(Results_Tank2!$B$3:$B$140&lt;&gt;"",ROW(Results_Tank2!$B$3:$B$140)-ROW(Results_Tank2!$B$3)+1),ROW(Q43))),"")</f>
        <v>1.0263430567750076</v>
      </c>
      <c r="R43" s="77">
        <f t="shared" si="1"/>
        <v>6.4146441048437974E-2</v>
      </c>
      <c r="S43" s="70">
        <f t="array" ref="S43">IFERROR(INDEX(Results_Tank2!$M$3:$M$140, SMALL(IF(Results_Tank2!$M$3:$M$140&lt;&gt;"",ROW(Results_Tank2!$M$3:$M$140)-ROW(Results_Tank2!$M$3)+1),ROW(S43))),"")</f>
        <v>6.0209782856854516E-3</v>
      </c>
    </row>
    <row r="44" spans="1:20" x14ac:dyDescent="0.35">
      <c r="Q44" s="59">
        <f t="array" ref="Q44">IFERROR(INDEX(Results_Tank2!$B$3:$B$140, SMALL(IF(Results_Tank2!$B$3:$B$140&lt;&gt;"",ROW(Results_Tank2!$B$3:$B$140)-ROW(Results_Tank2!$B$3)+1),ROW(Q44))),"")</f>
        <v>0.72634305677500755</v>
      </c>
      <c r="R44" s="77">
        <f t="shared" si="1"/>
        <v>4.5396441048437972E-2</v>
      </c>
      <c r="S44" s="70">
        <f t="array" ref="S44">IFERROR(INDEX(Results_Tank2!$M$3:$M$140, SMALL(IF(Results_Tank2!$M$3:$M$140&lt;&gt;"",ROW(Results_Tank2!$M$3:$M$140)-ROW(Results_Tank2!$M$3)+1),ROW(S44))),"")</f>
        <v>3.4349319612050002E-3</v>
      </c>
    </row>
    <row r="45" spans="1:20" x14ac:dyDescent="0.35">
      <c r="Q45" s="59">
        <f t="array" ref="Q45">IFERROR(INDEX(Results_Tank2!$B$3:$B$140, SMALL(IF(Results_Tank2!$B$3:$B$140&lt;&gt;"",ROW(Results_Tank2!$B$3:$B$140)-ROW(Results_Tank2!$B$3)+1),ROW(Q45))),"")</f>
        <v>0.42634305677500756</v>
      </c>
      <c r="R45" s="77">
        <f t="shared" si="1"/>
        <v>2.6646441048437972E-2</v>
      </c>
      <c r="S45" s="70">
        <f t="array" ref="S45">IFERROR(INDEX(Results_Tank2!$M$3:$M$140, SMALL(IF(Results_Tank2!$M$3:$M$140&lt;&gt;"",ROW(Results_Tank2!$M$3:$M$140)-ROW(Results_Tank2!$M$3)+1),ROW(S45))),"")</f>
        <v>2.3872548371312004E-3</v>
      </c>
    </row>
    <row r="46" spans="1:20" ht="15" thickBot="1" x14ac:dyDescent="0.4">
      <c r="Q46" s="61">
        <f t="array" ref="Q46">IFERROR(INDEX(Results_Tank2!$B$3:$B$140, SMALL(IF(Results_Tank2!$B$3:$B$140&lt;&gt;"",ROW(Results_Tank2!$B$3:$B$140)-ROW(Results_Tank2!$B$3)+1),ROW(Q46))),"")</f>
        <v>0.12634305677500757</v>
      </c>
      <c r="R46" s="79">
        <f t="shared" si="1"/>
        <v>7.896441048437973E-3</v>
      </c>
      <c r="S46" s="71">
        <f t="array" ref="S46">IFERROR(INDEX(Results_Tank2!$M$3:$M$140, SMALL(IF(Results_Tank2!$M$3:$M$140&lt;&gt;"",ROW(Results_Tank2!$M$3:$M$140)-ROW(Results_Tank2!$M$3)+1),ROW(S46))),"")</f>
        <v>6.7946893066679994E-4</v>
      </c>
    </row>
    <row r="48" spans="1:20" x14ac:dyDescent="0.35">
      <c r="Q48" s="56" t="s">
        <v>91</v>
      </c>
      <c r="R48" s="56"/>
      <c r="S48" s="56">
        <v>16</v>
      </c>
      <c r="T48" s="56" t="s">
        <v>38</v>
      </c>
    </row>
    <row r="49" spans="17:20" x14ac:dyDescent="0.35">
      <c r="Q49" s="56" t="s">
        <v>92</v>
      </c>
      <c r="R49" s="56"/>
      <c r="S49" s="56">
        <f>S48*0.9</f>
        <v>14.4</v>
      </c>
      <c r="T49" s="56" t="s">
        <v>38</v>
      </c>
    </row>
    <row r="50" spans="17:20" x14ac:dyDescent="0.35">
      <c r="Q50" s="56" t="s">
        <v>93</v>
      </c>
      <c r="R50" s="56"/>
      <c r="S50" s="56">
        <f>S48*0.1</f>
        <v>1.6</v>
      </c>
      <c r="T50" s="56" t="s">
        <v>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 ranges</vt:lpstr>
      <vt:lpstr>UHI analysis</vt:lpstr>
      <vt:lpstr>Credit factor</vt:lpstr>
      <vt:lpstr>Results_Tank1</vt:lpstr>
      <vt:lpstr>Results_Tank2</vt:lpstr>
      <vt:lpstr>plot</vt:lpstr>
    </vt:vector>
  </TitlesOfParts>
  <Company>UPC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</dc:creator>
  <cp:lastModifiedBy>Lorenzo Bruno</cp:lastModifiedBy>
  <dcterms:created xsi:type="dcterms:W3CDTF">2025-12-04T12:43:11Z</dcterms:created>
  <dcterms:modified xsi:type="dcterms:W3CDTF">2026-02-03T15:54:54Z</dcterms:modified>
</cp:coreProperties>
</file>