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6F182BD7-F16B-447F-B4C1-72085154C7CE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TYPE1" sheetId="1" r:id="rId1"/>
    <sheet name="TYPE2" sheetId="2" r:id="rId2"/>
    <sheet name="TYPE16_saf" sheetId="6" r:id="rId3"/>
    <sheet name="TYPE20_saf" sheetId="5" r:id="rId4"/>
    <sheet name="TYPE100" sheetId="3" r:id="rId5"/>
    <sheet name="TYPE01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6" l="1"/>
  <c r="B21" i="6"/>
  <c r="B19" i="6"/>
  <c r="B17" i="6"/>
  <c r="C11" i="6"/>
  <c r="B11" i="6"/>
  <c r="C10" i="6"/>
  <c r="B10" i="6"/>
  <c r="C3" i="6"/>
  <c r="B3" i="6"/>
  <c r="K2" i="6"/>
  <c r="B23" i="5"/>
  <c r="B21" i="5"/>
  <c r="B19" i="5"/>
  <c r="B17" i="5"/>
  <c r="C11" i="5"/>
  <c r="B11" i="5"/>
  <c r="C10" i="5"/>
  <c r="B10" i="5"/>
  <c r="C3" i="5"/>
  <c r="B3" i="5"/>
  <c r="K2" i="5"/>
  <c r="B3" i="3" l="1"/>
  <c r="C3" i="3" l="1"/>
  <c r="B2" i="4" l="1"/>
  <c r="B3" i="4"/>
  <c r="C13" i="4"/>
  <c r="B13" i="4"/>
  <c r="C12" i="4"/>
  <c r="B12" i="4"/>
  <c r="C3" i="4"/>
  <c r="K2" i="4"/>
  <c r="C11" i="3" l="1"/>
  <c r="B11" i="3"/>
  <c r="C10" i="3"/>
  <c r="B10" i="3"/>
  <c r="K2" i="3"/>
  <c r="B3" i="2" l="1"/>
  <c r="K2" i="2"/>
  <c r="B13" i="2" l="1"/>
  <c r="B12" i="2"/>
  <c r="C3" i="2" l="1"/>
  <c r="C12" i="2" l="1"/>
  <c r="C13" i="2"/>
  <c r="B3" i="1" l="1"/>
  <c r="B13" i="1" l="1"/>
  <c r="B12" i="1"/>
</calcChain>
</file>

<file path=xl/sharedStrings.xml><?xml version="1.0" encoding="utf-8"?>
<sst xmlns="http://schemas.openxmlformats.org/spreadsheetml/2006/main" count="294" uniqueCount="51">
  <si>
    <t>Parameters</t>
  </si>
  <si>
    <t>value</t>
  </si>
  <si>
    <t>unit</t>
  </si>
  <si>
    <t>-</t>
  </si>
  <si>
    <t>pressure</t>
  </si>
  <si>
    <t>bar</t>
  </si>
  <si>
    <t>yr</t>
  </si>
  <si>
    <t>CAPEX</t>
  </si>
  <si>
    <t>€/kWel</t>
  </si>
  <si>
    <t>€/kWel/annual</t>
  </si>
  <si>
    <t>installation_cost</t>
  </si>
  <si>
    <t>%CAPEX</t>
  </si>
  <si>
    <t>replacement_cost</t>
  </si>
  <si>
    <t>LCOE</t>
  </si>
  <si>
    <t>€/kWh</t>
  </si>
  <si>
    <t>LCOH</t>
  </si>
  <si>
    <t>€/kg</t>
  </si>
  <si>
    <t>lifetime</t>
  </si>
  <si>
    <t>efficiency_charge</t>
  </si>
  <si>
    <t>efficiency_discharge</t>
  </si>
  <si>
    <t>soc_initial</t>
  </si>
  <si>
    <t>soc_max</t>
  </si>
  <si>
    <t>soc_min</t>
  </si>
  <si>
    <t>kgH2</t>
  </si>
  <si>
    <t>=[kg]*[kWh/kg]</t>
  </si>
  <si>
    <t>kWh</t>
  </si>
  <si>
    <t>€/k</t>
  </si>
  <si>
    <t>OPEX</t>
  </si>
  <si>
    <t>rated_capacity_kg</t>
  </si>
  <si>
    <t>rated_capacity_kWh</t>
  </si>
  <si>
    <t>a casooo</t>
  </si>
  <si>
    <t>€/kWel/h</t>
  </si>
  <si>
    <t>questi sono kilo!!!</t>
  </si>
  <si>
    <t>con costo per ora, va tarato per I kg non per la Power IN</t>
  </si>
  <si>
    <t>value AT ZERO</t>
  </si>
  <si>
    <t>SOC_max1</t>
  </si>
  <si>
    <t>SOC_max2</t>
  </si>
  <si>
    <t>SOC_min1</t>
  </si>
  <si>
    <t>SOC_min2</t>
  </si>
  <si>
    <t>SOC_min3</t>
  </si>
  <si>
    <t>SOC_max3</t>
  </si>
  <si>
    <t>SOC_min4</t>
  </si>
  <si>
    <t>SOC_max4</t>
  </si>
  <si>
    <t>SOC_min5</t>
  </si>
  <si>
    <t>SOC_max5</t>
  </si>
  <si>
    <t>UHI1_tank</t>
  </si>
  <si>
    <t>UHI2_tank</t>
  </si>
  <si>
    <t>UHI3_tank</t>
  </si>
  <si>
    <t>UHI4_tank</t>
  </si>
  <si>
    <t>UHI5_tank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</si>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</sst>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0" xfId="0" quotePrefix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4" sqref="B4"/>
    </sheetView>
  </sheetViews>
  <sheetFormatPr defaultRowHeight="14.5" x14ac:dyDescent="0.35"/>
  <cols>
    <col min="1" max="1" width="26.6328125" customWidth="1"/>
    <col min="2" max="2" width="17.7265625" customWidth="1"/>
    <col min="3" max="3" width="17.6328125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 t="s">
        <v>28</v>
      </c>
      <c r="B2" s="2">
        <v>14.7</v>
      </c>
      <c r="C2" s="2" t="s">
        <v>23</v>
      </c>
    </row>
    <row r="3" spans="1:4" x14ac:dyDescent="0.35">
      <c r="A3" s="2" t="s">
        <v>29</v>
      </c>
      <c r="B3" s="2">
        <f>B2*33.33*1000</f>
        <v>489950.99999999994</v>
      </c>
      <c r="C3" s="2" t="s">
        <v>25</v>
      </c>
      <c r="D3" s="4" t="s">
        <v>24</v>
      </c>
    </row>
    <row r="4" spans="1:4" x14ac:dyDescent="0.35">
      <c r="A4" s="3" t="s">
        <v>18</v>
      </c>
      <c r="B4" s="3">
        <v>0.6</v>
      </c>
      <c r="C4" s="3" t="s">
        <v>3</v>
      </c>
      <c r="D4" t="s">
        <v>30</v>
      </c>
    </row>
    <row r="5" spans="1:4" x14ac:dyDescent="0.35">
      <c r="A5" s="3" t="s">
        <v>19</v>
      </c>
      <c r="B5" s="3">
        <v>0.7</v>
      </c>
      <c r="C5" s="3" t="s">
        <v>3</v>
      </c>
      <c r="D5" t="s">
        <v>30</v>
      </c>
    </row>
    <row r="6" spans="1:4" x14ac:dyDescent="0.35">
      <c r="A6" s="3" t="s">
        <v>20</v>
      </c>
      <c r="B6" s="3">
        <v>0.75</v>
      </c>
      <c r="C6" s="3" t="s">
        <v>3</v>
      </c>
    </row>
    <row r="7" spans="1:4" x14ac:dyDescent="0.35">
      <c r="A7" s="3" t="s">
        <v>21</v>
      </c>
      <c r="B7" s="3">
        <v>0.9</v>
      </c>
      <c r="C7" s="3" t="s">
        <v>3</v>
      </c>
    </row>
    <row r="8" spans="1:4" x14ac:dyDescent="0.35">
      <c r="A8" s="3" t="s">
        <v>22</v>
      </c>
      <c r="B8" s="3">
        <v>0.1</v>
      </c>
      <c r="C8" s="3" t="s">
        <v>3</v>
      </c>
    </row>
    <row r="9" spans="1:4" x14ac:dyDescent="0.35">
      <c r="A9" s="3" t="s">
        <v>4</v>
      </c>
      <c r="B9" s="3">
        <v>200</v>
      </c>
      <c r="C9" s="3" t="s">
        <v>5</v>
      </c>
    </row>
    <row r="10" spans="1:4" x14ac:dyDescent="0.35">
      <c r="A10" s="3" t="s">
        <v>17</v>
      </c>
      <c r="B10" s="3">
        <v>20</v>
      </c>
      <c r="C10" s="3" t="s">
        <v>6</v>
      </c>
    </row>
    <row r="11" spans="1:4" x14ac:dyDescent="0.35">
      <c r="A11" s="3" t="s">
        <v>7</v>
      </c>
      <c r="B11" s="3">
        <v>470</v>
      </c>
      <c r="C11" s="3" t="s">
        <v>26</v>
      </c>
    </row>
    <row r="12" spans="1:4" x14ac:dyDescent="0.35">
      <c r="A12" s="3" t="s">
        <v>27</v>
      </c>
      <c r="B12" s="3">
        <f>B11*0.2</f>
        <v>94</v>
      </c>
      <c r="C12" s="3" t="s">
        <v>9</v>
      </c>
    </row>
    <row r="13" spans="1:4" x14ac:dyDescent="0.35">
      <c r="A13" s="3" t="s">
        <v>10</v>
      </c>
      <c r="B13" s="3">
        <f>0.1*B11</f>
        <v>47</v>
      </c>
      <c r="C13" s="3" t="s">
        <v>8</v>
      </c>
    </row>
    <row r="14" spans="1:4" x14ac:dyDescent="0.35">
      <c r="A14" s="3" t="s">
        <v>12</v>
      </c>
      <c r="B14" s="3">
        <v>0</v>
      </c>
      <c r="C14" s="3" t="s">
        <v>11</v>
      </c>
    </row>
    <row r="15" spans="1:4" x14ac:dyDescent="0.35">
      <c r="A15" s="3" t="s">
        <v>13</v>
      </c>
      <c r="B15" s="3">
        <v>0</v>
      </c>
      <c r="C15" s="3" t="s">
        <v>14</v>
      </c>
    </row>
    <row r="16" spans="1:4" x14ac:dyDescent="0.35">
      <c r="A16" s="3" t="s">
        <v>15</v>
      </c>
      <c r="B16" s="3">
        <v>0</v>
      </c>
      <c r="C16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6B8A-3640-45C1-A2A8-F19C5EE61056}">
  <dimension ref="A1:K16"/>
  <sheetViews>
    <sheetView workbookViewId="0">
      <selection activeCell="B3" sqref="B3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v>2</v>
      </c>
      <c r="C2" s="2">
        <v>14.7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B2*33.33*1000</f>
        <v>66660</v>
      </c>
      <c r="C3" s="2">
        <f>C2*33.33*1000</f>
        <v>489950.99999999994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0.6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0.7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0.5</v>
      </c>
      <c r="C6" s="3">
        <v>0.75</v>
      </c>
      <c r="D6" s="3" t="s">
        <v>3</v>
      </c>
    </row>
    <row r="7" spans="1:11" x14ac:dyDescent="0.35">
      <c r="A7" s="3" t="s">
        <v>21</v>
      </c>
      <c r="B7" s="3">
        <v>0.9</v>
      </c>
      <c r="C7" s="3">
        <v>0.9</v>
      </c>
      <c r="D7" s="3" t="s">
        <v>3</v>
      </c>
    </row>
    <row r="8" spans="1:11" x14ac:dyDescent="0.35">
      <c r="A8" s="3" t="s">
        <v>22</v>
      </c>
      <c r="B8" s="3">
        <v>0.1</v>
      </c>
      <c r="C8" s="3">
        <v>0.1</v>
      </c>
      <c r="D8" s="3" t="s">
        <v>3</v>
      </c>
    </row>
    <row r="9" spans="1:11" x14ac:dyDescent="0.35">
      <c r="A9" s="3" t="s">
        <v>4</v>
      </c>
      <c r="B9" s="3">
        <v>200</v>
      </c>
      <c r="C9" s="3">
        <v>200</v>
      </c>
      <c r="D9" s="3" t="s">
        <v>5</v>
      </c>
    </row>
    <row r="10" spans="1:11" x14ac:dyDescent="0.35">
      <c r="A10" s="3" t="s">
        <v>17</v>
      </c>
      <c r="B10" s="3">
        <v>20</v>
      </c>
      <c r="C10" s="3">
        <v>20</v>
      </c>
      <c r="D10" s="3" t="s">
        <v>6</v>
      </c>
    </row>
    <row r="11" spans="1:11" x14ac:dyDescent="0.35">
      <c r="A11" s="3" t="s">
        <v>7</v>
      </c>
      <c r="B11" s="3">
        <v>470</v>
      </c>
      <c r="C11" s="3">
        <v>470</v>
      </c>
      <c r="D11" s="3" t="s">
        <v>16</v>
      </c>
      <c r="E11" t="s">
        <v>32</v>
      </c>
    </row>
    <row r="12" spans="1:11" x14ac:dyDescent="0.35">
      <c r="A12" s="3" t="s">
        <v>27</v>
      </c>
      <c r="B12" s="3">
        <f>B11*0.2/(365*24)</f>
        <v>1.0730593607305937E-2</v>
      </c>
      <c r="C12" s="3">
        <f>C11*0.2/(365*24)</f>
        <v>1.0730593607305937E-2</v>
      </c>
      <c r="D12" s="3" t="s">
        <v>31</v>
      </c>
      <c r="E12" t="s">
        <v>33</v>
      </c>
    </row>
    <row r="13" spans="1:11" x14ac:dyDescent="0.35">
      <c r="A13" s="3" t="s">
        <v>10</v>
      </c>
      <c r="B13" s="3">
        <f>0.1*B11</f>
        <v>47</v>
      </c>
      <c r="C13" s="3">
        <f>0.1*C11</f>
        <v>47</v>
      </c>
      <c r="D13" s="3" t="s">
        <v>8</v>
      </c>
    </row>
    <row r="14" spans="1:11" x14ac:dyDescent="0.35">
      <c r="A14" s="3" t="s">
        <v>12</v>
      </c>
      <c r="B14" s="3">
        <v>0</v>
      </c>
      <c r="C14" s="3">
        <v>0</v>
      </c>
      <c r="D14" s="3" t="s">
        <v>11</v>
      </c>
    </row>
    <row r="15" spans="1:11" x14ac:dyDescent="0.35">
      <c r="A15" s="3" t="s">
        <v>13</v>
      </c>
      <c r="B15" s="3">
        <v>0</v>
      </c>
      <c r="C15" s="3">
        <v>0</v>
      </c>
      <c r="D15" s="3" t="s">
        <v>14</v>
      </c>
    </row>
    <row r="16" spans="1:11" x14ac:dyDescent="0.35">
      <c r="A16" s="3" t="s">
        <v>15</v>
      </c>
      <c r="B16" s="3">
        <v>0</v>
      </c>
      <c r="C16" s="3">
        <v>0</v>
      </c>
      <c r="D16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3215-A791-4F51-9AEC-40E96CAA40B4}">
  <dimension ref="A1:K29"/>
  <sheetViews>
    <sheetView tabSelected="1" workbookViewId="0">
      <selection activeCell="B3" sqref="B3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v>16</v>
      </c>
      <c r="C2" s="2">
        <v>14700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B2*33.33</f>
        <v>533.28</v>
      </c>
      <c r="C3" s="2">
        <f>C2*33.33</f>
        <v>489951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1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1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50</v>
      </c>
      <c r="C6" s="3">
        <v>0.75</v>
      </c>
      <c r="D6" s="3" t="s">
        <v>3</v>
      </c>
    </row>
    <row r="7" spans="1:11" x14ac:dyDescent="0.35">
      <c r="A7" s="3" t="s">
        <v>4</v>
      </c>
      <c r="B7" s="3">
        <v>200</v>
      </c>
      <c r="C7" s="3">
        <v>200</v>
      </c>
      <c r="D7" s="3" t="s">
        <v>5</v>
      </c>
    </row>
    <row r="8" spans="1:11" x14ac:dyDescent="0.35">
      <c r="A8" s="3" t="s">
        <v>17</v>
      </c>
      <c r="B8" s="3">
        <v>20</v>
      </c>
      <c r="C8" s="3">
        <v>20</v>
      </c>
      <c r="D8" s="3" t="s">
        <v>6</v>
      </c>
    </row>
    <row r="9" spans="1:11" x14ac:dyDescent="0.35">
      <c r="A9" s="3" t="s">
        <v>7</v>
      </c>
      <c r="B9" s="3">
        <v>470</v>
      </c>
      <c r="C9" s="3">
        <v>470</v>
      </c>
      <c r="D9" s="3" t="s">
        <v>16</v>
      </c>
    </row>
    <row r="10" spans="1:11" x14ac:dyDescent="0.35">
      <c r="A10" s="3" t="s">
        <v>27</v>
      </c>
      <c r="B10" s="3">
        <f>B9*0.2/(365*24)</f>
        <v>1.0730593607305937E-2</v>
      </c>
      <c r="C10" s="3">
        <f>C9*0.2/(365*24)</f>
        <v>1.0730593607305937E-2</v>
      </c>
      <c r="D10" s="3" t="s">
        <v>31</v>
      </c>
    </row>
    <row r="11" spans="1:11" x14ac:dyDescent="0.35">
      <c r="A11" s="3" t="s">
        <v>10</v>
      </c>
      <c r="B11" s="3">
        <f>0.1*B9</f>
        <v>47</v>
      </c>
      <c r="C11" s="3">
        <f>0.1*C9</f>
        <v>47</v>
      </c>
      <c r="D11" s="3" t="s">
        <v>8</v>
      </c>
      <c r="E11" t="s">
        <v>32</v>
      </c>
    </row>
    <row r="12" spans="1:11" x14ac:dyDescent="0.35">
      <c r="A12" s="3" t="s">
        <v>12</v>
      </c>
      <c r="B12" s="3">
        <v>0</v>
      </c>
      <c r="C12" s="3">
        <v>0</v>
      </c>
      <c r="D12" s="3" t="s">
        <v>11</v>
      </c>
      <c r="E12" t="s">
        <v>33</v>
      </c>
    </row>
    <row r="13" spans="1:11" x14ac:dyDescent="0.35">
      <c r="A13" s="3" t="s">
        <v>13</v>
      </c>
      <c r="B13" s="3">
        <v>0</v>
      </c>
      <c r="C13" s="3">
        <v>0</v>
      </c>
      <c r="D13" s="3" t="s">
        <v>14</v>
      </c>
    </row>
    <row r="14" spans="1:11" x14ac:dyDescent="0.35">
      <c r="A14" s="3" t="s">
        <v>15</v>
      </c>
      <c r="B14" s="3">
        <v>0</v>
      </c>
      <c r="C14" s="3">
        <v>0</v>
      </c>
      <c r="D14" s="3" t="s">
        <v>16</v>
      </c>
    </row>
    <row r="15" spans="1:11" x14ac:dyDescent="0.35">
      <c r="A15" s="5" t="s">
        <v>37</v>
      </c>
      <c r="B15" s="3">
        <v>10</v>
      </c>
      <c r="C15" s="3"/>
      <c r="D15" s="3" t="s">
        <v>50</v>
      </c>
    </row>
    <row r="16" spans="1:11" x14ac:dyDescent="0.35">
      <c r="A16" s="5" t="s">
        <v>35</v>
      </c>
      <c r="B16" s="3">
        <v>12</v>
      </c>
      <c r="C16" s="3"/>
      <c r="D16" s="3" t="s">
        <v>50</v>
      </c>
    </row>
    <row r="17" spans="1:4" x14ac:dyDescent="0.35">
      <c r="A17" s="5" t="s">
        <v>38</v>
      </c>
      <c r="B17" s="3">
        <f>B16</f>
        <v>12</v>
      </c>
      <c r="C17" s="3"/>
      <c r="D17" s="3" t="s">
        <v>50</v>
      </c>
    </row>
    <row r="18" spans="1:4" x14ac:dyDescent="0.35">
      <c r="A18" s="5" t="s">
        <v>36</v>
      </c>
      <c r="B18" s="3">
        <v>23</v>
      </c>
      <c r="C18" s="3"/>
      <c r="D18" s="3" t="s">
        <v>50</v>
      </c>
    </row>
    <row r="19" spans="1:4" x14ac:dyDescent="0.35">
      <c r="A19" s="5" t="s">
        <v>39</v>
      </c>
      <c r="B19" s="3">
        <f>B18</f>
        <v>23</v>
      </c>
      <c r="C19" s="3"/>
      <c r="D19" s="3" t="s">
        <v>50</v>
      </c>
    </row>
    <row r="20" spans="1:4" x14ac:dyDescent="0.35">
      <c r="A20" s="5" t="s">
        <v>40</v>
      </c>
      <c r="B20" s="3">
        <v>38</v>
      </c>
      <c r="C20" s="3"/>
      <c r="D20" s="3" t="s">
        <v>50</v>
      </c>
    </row>
    <row r="21" spans="1:4" x14ac:dyDescent="0.35">
      <c r="A21" s="5" t="s">
        <v>41</v>
      </c>
      <c r="B21" s="3">
        <f>B20</f>
        <v>38</v>
      </c>
      <c r="C21" s="3"/>
      <c r="D21" s="3" t="s">
        <v>50</v>
      </c>
    </row>
    <row r="22" spans="1:4" x14ac:dyDescent="0.35">
      <c r="A22" s="5" t="s">
        <v>42</v>
      </c>
      <c r="B22" s="3">
        <v>61</v>
      </c>
      <c r="C22" s="3"/>
      <c r="D22" s="3" t="s">
        <v>50</v>
      </c>
    </row>
    <row r="23" spans="1:4" x14ac:dyDescent="0.35">
      <c r="A23" s="5" t="s">
        <v>43</v>
      </c>
      <c r="B23" s="3">
        <f>B22</f>
        <v>61</v>
      </c>
      <c r="C23" s="3"/>
      <c r="D23" s="3" t="s">
        <v>50</v>
      </c>
    </row>
    <row r="24" spans="1:4" x14ac:dyDescent="0.35">
      <c r="A24" s="5" t="s">
        <v>44</v>
      </c>
      <c r="B24" s="3">
        <v>90</v>
      </c>
      <c r="C24" s="3"/>
      <c r="D24" s="3" t="s">
        <v>50</v>
      </c>
    </row>
    <row r="25" spans="1:4" x14ac:dyDescent="0.35">
      <c r="A25" s="5" t="s">
        <v>45</v>
      </c>
      <c r="B25" s="5">
        <v>1</v>
      </c>
      <c r="C25" s="3"/>
      <c r="D25" s="3"/>
    </row>
    <row r="26" spans="1:4" x14ac:dyDescent="0.35">
      <c r="A26" s="5" t="s">
        <v>46</v>
      </c>
      <c r="B26" s="5">
        <v>2</v>
      </c>
      <c r="C26" s="3"/>
      <c r="D26" s="3"/>
    </row>
    <row r="27" spans="1:4" x14ac:dyDescent="0.35">
      <c r="A27" s="5" t="s">
        <v>47</v>
      </c>
      <c r="B27" s="5">
        <v>3</v>
      </c>
      <c r="C27" s="3"/>
      <c r="D27" s="3"/>
    </row>
    <row r="28" spans="1:4" x14ac:dyDescent="0.35">
      <c r="A28" s="5" t="s">
        <v>48</v>
      </c>
      <c r="B28" s="5">
        <v>4</v>
      </c>
      <c r="C28" s="3"/>
      <c r="D28" s="3"/>
    </row>
    <row r="29" spans="1:4" x14ac:dyDescent="0.35">
      <c r="A29" s="5" t="s">
        <v>49</v>
      </c>
      <c r="B29" s="5">
        <v>5</v>
      </c>
      <c r="C29" s="3"/>
      <c r="D29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C577-54C5-400F-A158-72B85A7ECA9E}">
  <dimension ref="A1:K29"/>
  <sheetViews>
    <sheetView workbookViewId="0">
      <selection activeCell="B24" sqref="B24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v>30</v>
      </c>
      <c r="C2" s="2">
        <v>14700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B2*33.33</f>
        <v>999.9</v>
      </c>
      <c r="C3" s="2">
        <f>C2*33.33</f>
        <v>489951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1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1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50</v>
      </c>
      <c r="C6" s="3">
        <v>0.75</v>
      </c>
      <c r="D6" s="3" t="s">
        <v>3</v>
      </c>
    </row>
    <row r="7" spans="1:11" x14ac:dyDescent="0.35">
      <c r="A7" s="3" t="s">
        <v>4</v>
      </c>
      <c r="B7" s="3">
        <v>200</v>
      </c>
      <c r="C7" s="3">
        <v>200</v>
      </c>
      <c r="D7" s="3" t="s">
        <v>5</v>
      </c>
    </row>
    <row r="8" spans="1:11" x14ac:dyDescent="0.35">
      <c r="A8" s="3" t="s">
        <v>17</v>
      </c>
      <c r="B8" s="3">
        <v>20</v>
      </c>
      <c r="C8" s="3">
        <v>20</v>
      </c>
      <c r="D8" s="3" t="s">
        <v>6</v>
      </c>
    </row>
    <row r="9" spans="1:11" x14ac:dyDescent="0.35">
      <c r="A9" s="3" t="s">
        <v>7</v>
      </c>
      <c r="B9" s="3">
        <v>470</v>
      </c>
      <c r="C9" s="3">
        <v>470</v>
      </c>
      <c r="D9" s="3" t="s">
        <v>16</v>
      </c>
    </row>
    <row r="10" spans="1:11" x14ac:dyDescent="0.35">
      <c r="A10" s="3" t="s">
        <v>27</v>
      </c>
      <c r="B10" s="3">
        <f>B9*0.2/(365*24)</f>
        <v>1.0730593607305937E-2</v>
      </c>
      <c r="C10" s="3">
        <f>C9*0.2/(365*24)</f>
        <v>1.0730593607305937E-2</v>
      </c>
      <c r="D10" s="3" t="s">
        <v>31</v>
      </c>
    </row>
    <row r="11" spans="1:11" x14ac:dyDescent="0.35">
      <c r="A11" s="3" t="s">
        <v>10</v>
      </c>
      <c r="B11" s="3">
        <f>0.1*B9</f>
        <v>47</v>
      </c>
      <c r="C11" s="3">
        <f>0.1*C9</f>
        <v>47</v>
      </c>
      <c r="D11" s="3" t="s">
        <v>8</v>
      </c>
      <c r="E11" t="s">
        <v>32</v>
      </c>
    </row>
    <row r="12" spans="1:11" x14ac:dyDescent="0.35">
      <c r="A12" s="3" t="s">
        <v>12</v>
      </c>
      <c r="B12" s="3">
        <v>0</v>
      </c>
      <c r="C12" s="3">
        <v>0</v>
      </c>
      <c r="D12" s="3" t="s">
        <v>11</v>
      </c>
      <c r="E12" t="s">
        <v>33</v>
      </c>
    </row>
    <row r="13" spans="1:11" x14ac:dyDescent="0.35">
      <c r="A13" s="3" t="s">
        <v>13</v>
      </c>
      <c r="B13" s="3">
        <v>0</v>
      </c>
      <c r="C13" s="3">
        <v>0</v>
      </c>
      <c r="D13" s="3" t="s">
        <v>14</v>
      </c>
    </row>
    <row r="14" spans="1:11" x14ac:dyDescent="0.35">
      <c r="A14" s="3" t="s">
        <v>15</v>
      </c>
      <c r="B14" s="3">
        <v>0</v>
      </c>
      <c r="C14" s="3">
        <v>0</v>
      </c>
      <c r="D14" s="3" t="s">
        <v>16</v>
      </c>
    </row>
    <row r="15" spans="1:11" x14ac:dyDescent="0.35">
      <c r="A15" s="5" t="s">
        <v>37</v>
      </c>
      <c r="B15" s="3">
        <v>10</v>
      </c>
      <c r="C15" s="3"/>
      <c r="D15" s="3" t="s">
        <v>50</v>
      </c>
    </row>
    <row r="16" spans="1:11" x14ac:dyDescent="0.35">
      <c r="A16" s="5" t="s">
        <v>35</v>
      </c>
      <c r="B16" s="3">
        <v>12</v>
      </c>
      <c r="C16" s="3"/>
      <c r="D16" s="3" t="s">
        <v>50</v>
      </c>
    </row>
    <row r="17" spans="1:4" x14ac:dyDescent="0.35">
      <c r="A17" s="5" t="s">
        <v>38</v>
      </c>
      <c r="B17" s="3">
        <f>B16</f>
        <v>12</v>
      </c>
      <c r="C17" s="3"/>
      <c r="D17" s="3" t="s">
        <v>50</v>
      </c>
    </row>
    <row r="18" spans="1:4" x14ac:dyDescent="0.35">
      <c r="A18" s="5" t="s">
        <v>36</v>
      </c>
      <c r="B18" s="3">
        <v>23</v>
      </c>
      <c r="C18" s="3"/>
      <c r="D18" s="3" t="s">
        <v>50</v>
      </c>
    </row>
    <row r="19" spans="1:4" x14ac:dyDescent="0.35">
      <c r="A19" s="5" t="s">
        <v>39</v>
      </c>
      <c r="B19" s="3">
        <f>B18</f>
        <v>23</v>
      </c>
      <c r="C19" s="3"/>
      <c r="D19" s="3" t="s">
        <v>50</v>
      </c>
    </row>
    <row r="20" spans="1:4" x14ac:dyDescent="0.35">
      <c r="A20" s="5" t="s">
        <v>40</v>
      </c>
      <c r="B20" s="3">
        <v>38</v>
      </c>
      <c r="C20" s="3"/>
      <c r="D20" s="3" t="s">
        <v>50</v>
      </c>
    </row>
    <row r="21" spans="1:4" x14ac:dyDescent="0.35">
      <c r="A21" s="5" t="s">
        <v>41</v>
      </c>
      <c r="B21" s="3">
        <f>B20</f>
        <v>38</v>
      </c>
      <c r="C21" s="3"/>
      <c r="D21" s="3" t="s">
        <v>50</v>
      </c>
    </row>
    <row r="22" spans="1:4" x14ac:dyDescent="0.35">
      <c r="A22" s="5" t="s">
        <v>42</v>
      </c>
      <c r="B22" s="3">
        <v>61</v>
      </c>
      <c r="C22" s="3"/>
      <c r="D22" s="3" t="s">
        <v>50</v>
      </c>
    </row>
    <row r="23" spans="1:4" x14ac:dyDescent="0.35">
      <c r="A23" s="5" t="s">
        <v>43</v>
      </c>
      <c r="B23" s="3">
        <f>B22</f>
        <v>61</v>
      </c>
      <c r="C23" s="3"/>
      <c r="D23" s="3" t="s">
        <v>50</v>
      </c>
    </row>
    <row r="24" spans="1:4" x14ac:dyDescent="0.35">
      <c r="A24" s="5" t="s">
        <v>44</v>
      </c>
      <c r="B24" s="3">
        <v>90</v>
      </c>
      <c r="C24" s="3"/>
      <c r="D24" s="3" t="s">
        <v>50</v>
      </c>
    </row>
    <row r="25" spans="1:4" x14ac:dyDescent="0.35">
      <c r="A25" s="5" t="s">
        <v>45</v>
      </c>
      <c r="B25" s="5">
        <v>1</v>
      </c>
      <c r="C25" s="3"/>
      <c r="D25" s="3"/>
    </row>
    <row r="26" spans="1:4" x14ac:dyDescent="0.35">
      <c r="A26" s="5" t="s">
        <v>46</v>
      </c>
      <c r="B26" s="5">
        <v>2</v>
      </c>
      <c r="C26" s="3"/>
      <c r="D26" s="3"/>
    </row>
    <row r="27" spans="1:4" x14ac:dyDescent="0.35">
      <c r="A27" s="5" t="s">
        <v>47</v>
      </c>
      <c r="B27" s="5">
        <v>3</v>
      </c>
      <c r="C27" s="3"/>
      <c r="D27" s="3"/>
    </row>
    <row r="28" spans="1:4" x14ac:dyDescent="0.35">
      <c r="A28" s="5" t="s">
        <v>48</v>
      </c>
      <c r="B28" s="5">
        <v>4</v>
      </c>
      <c r="C28" s="3"/>
      <c r="D28" s="3"/>
    </row>
    <row r="29" spans="1:4" x14ac:dyDescent="0.35">
      <c r="A29" s="5" t="s">
        <v>49</v>
      </c>
      <c r="B29" s="5">
        <v>5</v>
      </c>
      <c r="C29" s="3"/>
      <c r="D29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99F0-58C7-4CD9-A500-153655C994ED}">
  <dimension ref="A1:K29"/>
  <sheetViews>
    <sheetView workbookViewId="0">
      <selection activeCell="B16" sqref="B16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v>30</v>
      </c>
      <c r="C2" s="2">
        <v>14700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B2*33.33</f>
        <v>999.9</v>
      </c>
      <c r="C3" s="2">
        <f>C2*33.33</f>
        <v>489951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1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1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50</v>
      </c>
      <c r="C6" s="3">
        <v>0.75</v>
      </c>
      <c r="D6" s="3" t="s">
        <v>3</v>
      </c>
    </row>
    <row r="7" spans="1:11" x14ac:dyDescent="0.35">
      <c r="A7" s="3" t="s">
        <v>4</v>
      </c>
      <c r="B7" s="3">
        <v>200</v>
      </c>
      <c r="C7" s="3">
        <v>200</v>
      </c>
      <c r="D7" s="3" t="s">
        <v>5</v>
      </c>
    </row>
    <row r="8" spans="1:11" x14ac:dyDescent="0.35">
      <c r="A8" s="3" t="s">
        <v>17</v>
      </c>
      <c r="B8" s="3">
        <v>20</v>
      </c>
      <c r="C8" s="3">
        <v>20</v>
      </c>
      <c r="D8" s="3" t="s">
        <v>6</v>
      </c>
    </row>
    <row r="9" spans="1:11" x14ac:dyDescent="0.35">
      <c r="A9" s="3" t="s">
        <v>7</v>
      </c>
      <c r="B9" s="3">
        <v>470</v>
      </c>
      <c r="C9" s="3">
        <v>470</v>
      </c>
      <c r="D9" s="3" t="s">
        <v>16</v>
      </c>
    </row>
    <row r="10" spans="1:11" x14ac:dyDescent="0.35">
      <c r="A10" s="3" t="s">
        <v>27</v>
      </c>
      <c r="B10" s="3">
        <f>B9*0.2/(365*24)</f>
        <v>1.0730593607305937E-2</v>
      </c>
      <c r="C10" s="3">
        <f>C9*0.2/(365*24)</f>
        <v>1.0730593607305937E-2</v>
      </c>
      <c r="D10" s="3" t="s">
        <v>31</v>
      </c>
    </row>
    <row r="11" spans="1:11" x14ac:dyDescent="0.35">
      <c r="A11" s="3" t="s">
        <v>10</v>
      </c>
      <c r="B11" s="3">
        <f>0.1*B9</f>
        <v>47</v>
      </c>
      <c r="C11" s="3">
        <f>0.1*C9</f>
        <v>47</v>
      </c>
      <c r="D11" s="3" t="s">
        <v>8</v>
      </c>
      <c r="E11" t="s">
        <v>32</v>
      </c>
    </row>
    <row r="12" spans="1:11" x14ac:dyDescent="0.35">
      <c r="A12" s="3" t="s">
        <v>12</v>
      </c>
      <c r="B12" s="3">
        <v>0</v>
      </c>
      <c r="C12" s="3">
        <v>0</v>
      </c>
      <c r="D12" s="3" t="s">
        <v>11</v>
      </c>
      <c r="E12" t="s">
        <v>33</v>
      </c>
    </row>
    <row r="13" spans="1:11" x14ac:dyDescent="0.35">
      <c r="A13" s="3" t="s">
        <v>13</v>
      </c>
      <c r="B13" s="3">
        <v>0</v>
      </c>
      <c r="C13" s="3">
        <v>0</v>
      </c>
      <c r="D13" s="3" t="s">
        <v>14</v>
      </c>
    </row>
    <row r="14" spans="1:11" x14ac:dyDescent="0.35">
      <c r="A14" s="3" t="s">
        <v>15</v>
      </c>
      <c r="B14" s="3">
        <v>0</v>
      </c>
      <c r="C14" s="3">
        <v>0</v>
      </c>
      <c r="D14" s="3" t="s">
        <v>16</v>
      </c>
    </row>
    <row r="15" spans="1:11" x14ac:dyDescent="0.35">
      <c r="A15" s="5" t="s">
        <v>37</v>
      </c>
      <c r="B15" s="3">
        <v>10</v>
      </c>
      <c r="C15" s="3"/>
      <c r="D15" s="3" t="s">
        <v>50</v>
      </c>
    </row>
    <row r="16" spans="1:11" x14ac:dyDescent="0.35">
      <c r="A16" s="5" t="s">
        <v>35</v>
      </c>
      <c r="B16" s="3">
        <v>20</v>
      </c>
      <c r="C16" s="3"/>
      <c r="D16" s="3" t="s">
        <v>50</v>
      </c>
    </row>
    <row r="17" spans="1:4" x14ac:dyDescent="0.35">
      <c r="A17" s="5" t="s">
        <v>38</v>
      </c>
      <c r="B17" s="3">
        <v>20</v>
      </c>
      <c r="C17" s="3"/>
      <c r="D17" s="3" t="s">
        <v>50</v>
      </c>
    </row>
    <row r="18" spans="1:4" x14ac:dyDescent="0.35">
      <c r="A18" s="5" t="s">
        <v>36</v>
      </c>
      <c r="B18" s="3">
        <v>40</v>
      </c>
      <c r="C18" s="3"/>
      <c r="D18" s="3" t="s">
        <v>50</v>
      </c>
    </row>
    <row r="19" spans="1:4" x14ac:dyDescent="0.35">
      <c r="A19" s="5" t="s">
        <v>39</v>
      </c>
      <c r="B19" s="3">
        <v>40</v>
      </c>
      <c r="C19" s="3"/>
      <c r="D19" s="3" t="s">
        <v>50</v>
      </c>
    </row>
    <row r="20" spans="1:4" x14ac:dyDescent="0.35">
      <c r="A20" s="5" t="s">
        <v>40</v>
      </c>
      <c r="B20" s="3">
        <v>60</v>
      </c>
      <c r="C20" s="3"/>
      <c r="D20" s="3" t="s">
        <v>50</v>
      </c>
    </row>
    <row r="21" spans="1:4" x14ac:dyDescent="0.35">
      <c r="A21" s="5" t="s">
        <v>41</v>
      </c>
      <c r="B21" s="3">
        <v>60</v>
      </c>
      <c r="C21" s="3"/>
      <c r="D21" s="3" t="s">
        <v>50</v>
      </c>
    </row>
    <row r="22" spans="1:4" x14ac:dyDescent="0.35">
      <c r="A22" s="5" t="s">
        <v>42</v>
      </c>
      <c r="B22" s="3">
        <v>80</v>
      </c>
      <c r="C22" s="3"/>
      <c r="D22" s="3" t="s">
        <v>50</v>
      </c>
    </row>
    <row r="23" spans="1:4" x14ac:dyDescent="0.35">
      <c r="A23" s="5" t="s">
        <v>43</v>
      </c>
      <c r="B23" s="3">
        <v>80</v>
      </c>
      <c r="C23" s="3"/>
      <c r="D23" s="3" t="s">
        <v>50</v>
      </c>
    </row>
    <row r="24" spans="1:4" x14ac:dyDescent="0.35">
      <c r="A24" s="5" t="s">
        <v>44</v>
      </c>
      <c r="B24" s="3">
        <v>90</v>
      </c>
      <c r="C24" s="3"/>
      <c r="D24" s="3" t="s">
        <v>50</v>
      </c>
    </row>
    <row r="25" spans="1:4" x14ac:dyDescent="0.35">
      <c r="A25" s="5" t="s">
        <v>45</v>
      </c>
      <c r="B25" s="5">
        <v>1</v>
      </c>
      <c r="C25" s="3"/>
      <c r="D25" s="3"/>
    </row>
    <row r="26" spans="1:4" x14ac:dyDescent="0.35">
      <c r="A26" s="5" t="s">
        <v>46</v>
      </c>
      <c r="B26" s="5">
        <v>2</v>
      </c>
      <c r="C26" s="3"/>
      <c r="D26" s="3"/>
    </row>
    <row r="27" spans="1:4" x14ac:dyDescent="0.35">
      <c r="A27" s="5" t="s">
        <v>47</v>
      </c>
      <c r="B27" s="5">
        <v>3</v>
      </c>
      <c r="C27" s="3"/>
      <c r="D27" s="3"/>
    </row>
    <row r="28" spans="1:4" x14ac:dyDescent="0.35">
      <c r="A28" s="5" t="s">
        <v>48</v>
      </c>
      <c r="B28" s="5">
        <v>4</v>
      </c>
      <c r="C28" s="3"/>
      <c r="D28" s="3"/>
    </row>
    <row r="29" spans="1:4" x14ac:dyDescent="0.35">
      <c r="A29" s="5" t="s">
        <v>49</v>
      </c>
      <c r="B29" s="5">
        <v>5</v>
      </c>
      <c r="C29" s="3"/>
      <c r="D29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77B4-BF50-4481-9605-8A8F72B9F6DF}">
  <dimension ref="A1:K16"/>
  <sheetViews>
    <sheetView workbookViewId="0">
      <selection activeCell="B3" sqref="B3"/>
    </sheetView>
  </sheetViews>
  <sheetFormatPr defaultRowHeight="14.5" x14ac:dyDescent="0.35"/>
  <cols>
    <col min="1" max="1" width="26.6328125" customWidth="1"/>
    <col min="2" max="3" width="17.7265625" customWidth="1"/>
    <col min="4" max="4" width="17.6328125" customWidth="1"/>
  </cols>
  <sheetData>
    <row r="1" spans="1:11" x14ac:dyDescent="0.35">
      <c r="A1" s="1" t="s">
        <v>0</v>
      </c>
      <c r="B1" s="1" t="s">
        <v>34</v>
      </c>
      <c r="C1" s="1" t="s">
        <v>1</v>
      </c>
      <c r="D1" s="1" t="s">
        <v>2</v>
      </c>
    </row>
    <row r="2" spans="1:11" x14ac:dyDescent="0.35">
      <c r="A2" s="2" t="s">
        <v>28</v>
      </c>
      <c r="B2" s="2">
        <f>B3/(33.33*1000)</f>
        <v>0.1</v>
      </c>
      <c r="C2" s="2">
        <v>14.7</v>
      </c>
      <c r="D2" s="2" t="s">
        <v>23</v>
      </c>
      <c r="K2">
        <f>100/33.33</f>
        <v>3.0003000300030003</v>
      </c>
    </row>
    <row r="3" spans="1:11" x14ac:dyDescent="0.35">
      <c r="A3" s="2" t="s">
        <v>29</v>
      </c>
      <c r="B3" s="2">
        <f>3333</f>
        <v>3333</v>
      </c>
      <c r="C3" s="2">
        <f>C2*33.33*1000</f>
        <v>489950.99999999994</v>
      </c>
      <c r="D3" s="2" t="s">
        <v>25</v>
      </c>
      <c r="E3" s="4" t="s">
        <v>24</v>
      </c>
    </row>
    <row r="4" spans="1:11" x14ac:dyDescent="0.35">
      <c r="A4" s="3" t="s">
        <v>18</v>
      </c>
      <c r="B4" s="3">
        <v>0.6</v>
      </c>
      <c r="C4" s="3">
        <v>0.6</v>
      </c>
      <c r="D4" s="3" t="s">
        <v>3</v>
      </c>
      <c r="E4" t="s">
        <v>30</v>
      </c>
    </row>
    <row r="5" spans="1:11" x14ac:dyDescent="0.35">
      <c r="A5" s="3" t="s">
        <v>19</v>
      </c>
      <c r="B5" s="3">
        <v>0.7</v>
      </c>
      <c r="C5" s="3">
        <v>0.7</v>
      </c>
      <c r="D5" s="3" t="s">
        <v>3</v>
      </c>
      <c r="E5" t="s">
        <v>30</v>
      </c>
    </row>
    <row r="6" spans="1:11" x14ac:dyDescent="0.35">
      <c r="A6" s="3" t="s">
        <v>20</v>
      </c>
      <c r="B6" s="3">
        <v>0.5</v>
      </c>
      <c r="C6" s="3">
        <v>0.75</v>
      </c>
      <c r="D6" s="3" t="s">
        <v>3</v>
      </c>
    </row>
    <row r="7" spans="1:11" x14ac:dyDescent="0.35">
      <c r="A7" s="3" t="s">
        <v>21</v>
      </c>
      <c r="B7" s="3">
        <v>0.9</v>
      </c>
      <c r="C7" s="3">
        <v>0.9</v>
      </c>
      <c r="D7" s="3" t="s">
        <v>3</v>
      </c>
    </row>
    <row r="8" spans="1:11" x14ac:dyDescent="0.35">
      <c r="A8" s="3" t="s">
        <v>22</v>
      </c>
      <c r="B8" s="3">
        <v>0.1</v>
      </c>
      <c r="C8" s="3">
        <v>0.1</v>
      </c>
      <c r="D8" s="3" t="s">
        <v>3</v>
      </c>
    </row>
    <row r="9" spans="1:11" x14ac:dyDescent="0.35">
      <c r="A9" s="3" t="s">
        <v>4</v>
      </c>
      <c r="B9" s="3">
        <v>200</v>
      </c>
      <c r="C9" s="3">
        <v>200</v>
      </c>
      <c r="D9" s="3" t="s">
        <v>5</v>
      </c>
    </row>
    <row r="10" spans="1:11" x14ac:dyDescent="0.35">
      <c r="A10" s="3" t="s">
        <v>17</v>
      </c>
      <c r="B10" s="3">
        <v>20</v>
      </c>
      <c r="C10" s="3">
        <v>20</v>
      </c>
      <c r="D10" s="3" t="s">
        <v>6</v>
      </c>
    </row>
    <row r="11" spans="1:11" x14ac:dyDescent="0.35">
      <c r="A11" s="3" t="s">
        <v>7</v>
      </c>
      <c r="B11" s="3">
        <v>470</v>
      </c>
      <c r="C11" s="3">
        <v>470</v>
      </c>
      <c r="D11" s="3" t="s">
        <v>16</v>
      </c>
      <c r="E11" t="s">
        <v>32</v>
      </c>
    </row>
    <row r="12" spans="1:11" x14ac:dyDescent="0.35">
      <c r="A12" s="3" t="s">
        <v>27</v>
      </c>
      <c r="B12" s="3">
        <f>B11*0.2/(365*24)</f>
        <v>1.0730593607305937E-2</v>
      </c>
      <c r="C12" s="3">
        <f>C11*0.2/(365*24)</f>
        <v>1.0730593607305937E-2</v>
      </c>
      <c r="D12" s="3" t="s">
        <v>31</v>
      </c>
      <c r="E12" t="s">
        <v>33</v>
      </c>
    </row>
    <row r="13" spans="1:11" x14ac:dyDescent="0.35">
      <c r="A13" s="3" t="s">
        <v>10</v>
      </c>
      <c r="B13" s="3">
        <f>0.1*B11</f>
        <v>47</v>
      </c>
      <c r="C13" s="3">
        <f>0.1*C11</f>
        <v>47</v>
      </c>
      <c r="D13" s="3" t="s">
        <v>8</v>
      </c>
    </row>
    <row r="14" spans="1:11" x14ac:dyDescent="0.35">
      <c r="A14" s="3" t="s">
        <v>12</v>
      </c>
      <c r="B14" s="3">
        <v>0</v>
      </c>
      <c r="C14" s="3">
        <v>0</v>
      </c>
      <c r="D14" s="3" t="s">
        <v>11</v>
      </c>
    </row>
    <row r="15" spans="1:11" x14ac:dyDescent="0.35">
      <c r="A15" s="3" t="s">
        <v>13</v>
      </c>
      <c r="B15" s="3">
        <v>0</v>
      </c>
      <c r="C15" s="3">
        <v>0</v>
      </c>
      <c r="D15" s="3" t="s">
        <v>14</v>
      </c>
    </row>
    <row r="16" spans="1:11" x14ac:dyDescent="0.35">
      <c r="A16" s="3" t="s">
        <v>15</v>
      </c>
      <c r="B16" s="3">
        <v>0</v>
      </c>
      <c r="C16" s="3">
        <v>0</v>
      </c>
      <c r="D1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TYPE1</vt:lpstr>
      <vt:lpstr>TYPE2</vt:lpstr>
      <vt:lpstr>TYPE16_saf</vt:lpstr>
      <vt:lpstr>TYPE20_saf</vt:lpstr>
      <vt:lpstr>TYPE100</vt:lpstr>
      <vt:lpstr>TYPE01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2026-01-22T15:55:41Z</dcterms:modified>
</cp:coreProperties>
</file>